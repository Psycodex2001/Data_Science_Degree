
<file path=[Content_Types].xml><?xml version="1.0" encoding="utf-8"?>
<Types xmlns="http://schemas.openxmlformats.org/package/2006/content-types">
  <Default Extension="bin" ContentType="application/vnd.openxmlformats-officedocument.oleObject"/>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rinterSettings/printerSettings1.bin" ContentType="application/vnd.openxmlformats-officedocument.spreadsheetml.printerSettings"/>
  <Override PartName="/xl/drawings/drawing3.xml" ContentType="application/vnd.openxmlformats-officedocument.drawing+xml"/>
  <Override PartName="/xl/printerSettings/printerSettings2.bin" ContentType="application/vnd.openxmlformats-officedocument.spreadsheetml.printerSettings"/>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Meus documentos\Faculdades e Colégio\Exercicios\UniCEUB\Faculdade\Curso Administração\Estatística e Métodos Quantitativos\EXCEL\"/>
    </mc:Choice>
  </mc:AlternateContent>
  <bookViews>
    <workbookView xWindow="1065" yWindow="300" windowWidth="22110" windowHeight="8565" firstSheet="2" activeTab="3"/>
  </bookViews>
  <sheets>
    <sheet name="Teste de Qualidade de Ajuste 1" sheetId="2" r:id="rId1"/>
    <sheet name="Teste de Qualidade de Ajuste 2" sheetId="3" r:id="rId2"/>
    <sheet name="Teste da Independência" sheetId="4" r:id="rId3"/>
    <sheet name="LEI DE NEWCOMB-BENFORD" sheetId="5" r:id="rId4"/>
    <sheet name="Teste t-Student" sheetId="6" r:id="rId5"/>
  </sheets>
  <calcPr calcId="152511"/>
</workbook>
</file>

<file path=xl/calcChain.xml><?xml version="1.0" encoding="utf-8"?>
<calcChain xmlns="http://schemas.openxmlformats.org/spreadsheetml/2006/main">
  <c r="F18" i="5" l="1"/>
  <c r="F17" i="5"/>
  <c r="F7" i="5"/>
  <c r="B16" i="5"/>
  <c r="E16" i="5" s="1"/>
  <c r="F16" i="5" s="1"/>
  <c r="B8" i="5"/>
  <c r="B9" i="5"/>
  <c r="B10" i="5"/>
  <c r="B11" i="5"/>
  <c r="B12" i="5"/>
  <c r="B13" i="5"/>
  <c r="B14" i="5"/>
  <c r="B15" i="5"/>
  <c r="B7" i="5"/>
  <c r="L12" i="4" l="1"/>
  <c r="I15" i="4"/>
  <c r="I18" i="4" s="1"/>
  <c r="L11" i="4" s="1"/>
  <c r="J15" i="4"/>
  <c r="K15" i="4"/>
  <c r="I16" i="4"/>
  <c r="J16" i="4"/>
  <c r="J18" i="4" s="1"/>
  <c r="K16" i="4"/>
  <c r="K18" i="4" s="1"/>
  <c r="I17" i="4"/>
  <c r="J17" i="4"/>
  <c r="K17" i="4"/>
  <c r="L10" i="4"/>
  <c r="I4" i="4"/>
  <c r="J4" i="4"/>
  <c r="K4" i="4"/>
  <c r="I5" i="4"/>
  <c r="J5" i="4"/>
  <c r="K5" i="4"/>
  <c r="I6" i="4"/>
  <c r="J6" i="4"/>
  <c r="K6" i="4"/>
  <c r="E4" i="4"/>
  <c r="B7" i="4"/>
  <c r="C12" i="3" l="1"/>
  <c r="C11" i="2"/>
  <c r="C9" i="2"/>
  <c r="C8" i="2"/>
  <c r="C6" i="2"/>
  <c r="C3" i="2"/>
  <c r="C4" i="2"/>
  <c r="C2" i="2"/>
  <c r="E7" i="5" l="1"/>
  <c r="G7" i="5"/>
  <c r="G8" i="5"/>
  <c r="G9" i="5"/>
  <c r="G10" i="5"/>
  <c r="G11" i="5"/>
  <c r="G12" i="5"/>
  <c r="G13" i="5"/>
  <c r="G14" i="5"/>
  <c r="G15" i="5"/>
  <c r="G16" i="5" l="1"/>
  <c r="F20" i="5" s="1"/>
  <c r="E8" i="5"/>
  <c r="F8" i="5" s="1"/>
  <c r="E9" i="5"/>
  <c r="F9" i="5" s="1"/>
  <c r="E10" i="5"/>
  <c r="F10" i="5" s="1"/>
  <c r="E11" i="5"/>
  <c r="F11" i="5" s="1"/>
  <c r="E12" i="5"/>
  <c r="F12" i="5" s="1"/>
  <c r="E13" i="5"/>
  <c r="F13" i="5" s="1"/>
  <c r="E14" i="5"/>
  <c r="F14" i="5" s="1"/>
  <c r="E15" i="5"/>
  <c r="F15" i="5" s="1"/>
  <c r="F22" i="5" l="1"/>
  <c r="F21" i="5"/>
  <c r="D7" i="6"/>
  <c r="D6" i="6"/>
  <c r="D2" i="6"/>
  <c r="D3" i="6" s="1"/>
  <c r="D5" i="6" s="1"/>
  <c r="D1" i="6"/>
  <c r="C10" i="3" l="1"/>
  <c r="C9" i="3"/>
  <c r="C7" i="3"/>
  <c r="C4" i="3"/>
  <c r="C5" i="3"/>
  <c r="C3" i="3"/>
  <c r="C16" i="5" l="1"/>
  <c r="D8" i="5"/>
  <c r="D9" i="5"/>
  <c r="D10" i="5"/>
  <c r="D11" i="5"/>
  <c r="D12" i="5"/>
  <c r="D13" i="5"/>
  <c r="D14" i="5"/>
  <c r="D15" i="5"/>
  <c r="D7" i="5"/>
  <c r="D16" i="5" l="1"/>
  <c r="D7" i="4" l="1"/>
  <c r="C7" i="4"/>
  <c r="E6" i="4"/>
  <c r="E5" i="4"/>
  <c r="E7" i="4" l="1"/>
</calcChain>
</file>

<file path=xl/sharedStrings.xml><?xml version="1.0" encoding="utf-8"?>
<sst xmlns="http://schemas.openxmlformats.org/spreadsheetml/2006/main" count="39" uniqueCount="26">
  <si>
    <t>TOTAL</t>
  </si>
  <si>
    <t>[(fo-fe)^2]/fe</t>
  </si>
  <si>
    <t>SOMA</t>
  </si>
  <si>
    <t>Qui-Quadrado Crítico</t>
  </si>
  <si>
    <t>Frequência Esperada</t>
  </si>
  <si>
    <t>Frequência Observada</t>
  </si>
  <si>
    <t>Qui-Quadrado Calculado</t>
  </si>
  <si>
    <t>Primeiro Dígito</t>
  </si>
  <si>
    <t>Probabilidade esperada P(d)</t>
  </si>
  <si>
    <t>Frequência observada</t>
  </si>
  <si>
    <t>Probabilidade observada</t>
  </si>
  <si>
    <r>
      <t>z</t>
    </r>
    <r>
      <rPr>
        <b/>
        <sz val="12"/>
        <color rgb="FFFF0000"/>
        <rFont val="Calibri"/>
        <family val="2"/>
        <scheme val="minor"/>
      </rPr>
      <t>calc</t>
    </r>
  </si>
  <si>
    <r>
      <t>z</t>
    </r>
    <r>
      <rPr>
        <b/>
        <sz val="12"/>
        <color theme="3" tint="0.39997558519241921"/>
        <rFont val="Calibri"/>
        <family val="2"/>
        <scheme val="minor"/>
      </rPr>
      <t>crit</t>
    </r>
  </si>
  <si>
    <t>RESULTADO - TESTE z</t>
  </si>
  <si>
    <r>
      <t xml:space="preserve">Qui-Quadrado </t>
    </r>
    <r>
      <rPr>
        <b/>
        <sz val="12"/>
        <color rgb="FFFF0000"/>
        <rFont val="Calibri"/>
        <family val="2"/>
        <scheme val="minor"/>
      </rPr>
      <t>calculado</t>
    </r>
  </si>
  <si>
    <r>
      <t>Quiqua</t>
    </r>
    <r>
      <rPr>
        <b/>
        <sz val="11"/>
        <color theme="3" tint="0.39997558519241921"/>
        <rFont val="Calibri"/>
        <family val="2"/>
        <scheme val="minor"/>
      </rPr>
      <t>crit</t>
    </r>
  </si>
  <si>
    <t>n*(po-pe)^2/pe</t>
  </si>
  <si>
    <r>
      <t xml:space="preserve">RESULTADO - TESTE </t>
    </r>
    <r>
      <rPr>
        <b/>
        <i/>
        <sz val="12"/>
        <color theme="1"/>
        <rFont val="Calibri"/>
        <family val="2"/>
        <scheme val="minor"/>
      </rPr>
      <t>QUI-QUADRADO</t>
    </r>
  </si>
  <si>
    <t>Resultado do Teste</t>
  </si>
  <si>
    <t>Média Amostral</t>
  </si>
  <si>
    <t>Desvio Padrão Amostral</t>
  </si>
  <si>
    <t>Erro Padrão Amostral da Média</t>
  </si>
  <si>
    <r>
      <t>t</t>
    </r>
    <r>
      <rPr>
        <b/>
        <sz val="11"/>
        <color rgb="FFFF0000"/>
        <rFont val="Calibri"/>
        <family val="2"/>
        <scheme val="minor"/>
      </rPr>
      <t>calc</t>
    </r>
  </si>
  <si>
    <r>
      <t>t</t>
    </r>
    <r>
      <rPr>
        <b/>
        <sz val="11"/>
        <color rgb="FF00B0F0"/>
        <rFont val="Calibri"/>
        <family val="2"/>
        <scheme val="minor"/>
      </rPr>
      <t>c</t>
    </r>
  </si>
  <si>
    <t>Resultado Final</t>
  </si>
  <si>
    <t>DECISÃO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</si>
</sst>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 #,##0.00"/>
  </numFmts>
  <fonts count="17" x14ac:knownFonts="1">
    <font>
      <sz val="11"/>
      <color theme="1"/>
      <name val="Calibri"/>
      <family val="2"/>
      <scheme val="minor"/>
    </font>
    <font>
      <b/>
      <sz val="11"/>
      <color theme="1"/>
      <name val="Calibri"/>
      <family val="2"/>
      <scheme val="minor"/>
    </font>
    <font>
      <b/>
      <sz val="12"/>
      <color theme="1"/>
      <name val="Calibri"/>
      <family val="2"/>
      <scheme val="minor"/>
    </font>
    <font>
      <b/>
      <sz val="11"/>
      <color theme="8" tint="-0.249977111117893"/>
      <name val="Calibri"/>
      <family val="2"/>
      <scheme val="minor"/>
    </font>
    <font>
      <b/>
      <sz val="14"/>
      <color theme="8" tint="-0.249977111117893"/>
      <name val="Calibri"/>
      <family val="2"/>
      <scheme val="minor"/>
    </font>
    <font>
      <b/>
      <sz val="11"/>
      <color theme="5" tint="-0.249977111117893"/>
      <name val="Calibri"/>
      <family val="2"/>
      <scheme val="minor"/>
    </font>
    <font>
      <b/>
      <sz val="11"/>
      <color rgb="FFFF0000"/>
      <name val="Calibri"/>
      <family val="2"/>
      <scheme val="minor"/>
    </font>
    <font>
      <b/>
      <sz val="12"/>
      <color rgb="FFFF0000"/>
      <name val="Calibri"/>
      <family val="2"/>
      <scheme val="minor"/>
    </font>
    <font>
      <b/>
      <sz val="11"/>
      <color theme="3" tint="0.39997558519241921"/>
      <name val="Calibri"/>
      <family val="2"/>
      <scheme val="minor"/>
    </font>
    <font>
      <b/>
      <sz val="12"/>
      <color theme="3" tint="0.39997558519241921"/>
      <name val="Calibri"/>
      <family val="2"/>
      <scheme val="minor"/>
    </font>
    <font>
      <b/>
      <i/>
      <sz val="12"/>
      <color theme="1"/>
      <name val="Calibri"/>
      <family val="2"/>
      <scheme val="minor"/>
    </font>
    <font>
      <b/>
      <sz val="11"/>
      <color rgb="FF00B0F0"/>
      <name val="Calibri"/>
      <family val="2"/>
      <scheme val="minor"/>
    </font>
    <font>
      <b/>
      <sz val="11"/>
      <color rgb="FFC00000"/>
      <name val="Calibri"/>
      <family val="2"/>
      <scheme val="minor"/>
    </font>
    <font>
      <sz val="11"/>
      <color theme="7"/>
      <name val="Calibri"/>
      <family val="2"/>
      <scheme val="minor"/>
    </font>
    <font>
      <sz val="11"/>
      <color rgb="FFFF0000"/>
      <name val="Calibri"/>
      <family val="2"/>
      <scheme val="minor"/>
    </font>
    <font>
      <sz val="11"/>
      <color rgb="FF00B0F0"/>
      <name val="Calibri"/>
      <family val="2"/>
      <scheme val="minor"/>
    </font>
    <font>
      <b/>
      <sz val="12"/>
      <color rgb="FF00B0F0"/>
      <name val="Calibri"/>
      <family val="2"/>
      <scheme val="minor"/>
    </font>
  </fonts>
  <fills count="6">
    <fill>
      <patternFill patternType="none"/>
    </fill>
    <fill>
      <patternFill patternType="gray125"/>
    </fill>
    <fill>
      <patternFill patternType="solid">
        <fgColor theme="1"/>
        <bgColor indexed="64"/>
      </patternFill>
    </fill>
    <fill>
      <patternFill patternType="solid">
        <fgColor theme="2"/>
        <bgColor indexed="64"/>
      </patternFill>
    </fill>
    <fill>
      <patternFill patternType="solid">
        <fgColor theme="0" tint="-4.9989318521683403E-2"/>
        <bgColor indexed="64"/>
      </patternFill>
    </fill>
    <fill>
      <patternFill patternType="solid">
        <fgColor theme="0"/>
        <bgColor indexed="64"/>
      </patternFill>
    </fill>
  </fills>
  <borders count="17">
    <border>
      <left/>
      <right/>
      <top/>
      <bottom/>
      <diagonal/>
    </border>
    <border>
      <left style="medium">
        <color theme="5"/>
      </left>
      <right/>
      <top style="medium">
        <color theme="5"/>
      </top>
      <bottom/>
      <diagonal/>
    </border>
    <border>
      <left/>
      <right/>
      <top style="medium">
        <color theme="5"/>
      </top>
      <bottom/>
      <diagonal/>
    </border>
    <border>
      <left/>
      <right style="medium">
        <color theme="5"/>
      </right>
      <top style="medium">
        <color theme="5"/>
      </top>
      <bottom/>
      <diagonal/>
    </border>
    <border>
      <left style="medium">
        <color theme="5"/>
      </left>
      <right/>
      <top/>
      <bottom/>
      <diagonal/>
    </border>
    <border>
      <left/>
      <right style="medium">
        <color theme="5"/>
      </right>
      <top/>
      <bottom/>
      <diagonal/>
    </border>
    <border>
      <left style="medium">
        <color theme="5"/>
      </left>
      <right/>
      <top/>
      <bottom style="medium">
        <color theme="5"/>
      </bottom>
      <diagonal/>
    </border>
    <border>
      <left/>
      <right/>
      <top/>
      <bottom style="medium">
        <color theme="5"/>
      </bottom>
      <diagonal/>
    </border>
    <border>
      <left/>
      <right style="medium">
        <color theme="5"/>
      </right>
      <top/>
      <bottom style="medium">
        <color theme="5"/>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41">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4" fillId="0" borderId="0" xfId="0" applyFont="1" applyAlignment="1">
      <alignment horizontal="center"/>
    </xf>
    <xf numFmtId="0" fontId="6" fillId="0" borderId="0" xfId="0" applyFont="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2" borderId="0" xfId="0" applyFill="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0" xfId="0" applyAlignment="1">
      <alignment horizontal="center"/>
    </xf>
    <xf numFmtId="0" fontId="2" fillId="0" borderId="0" xfId="0" applyFont="1" applyAlignment="1">
      <alignment horizontal="center"/>
    </xf>
    <xf numFmtId="0" fontId="2" fillId="0" borderId="0" xfId="0" applyFont="1" applyAlignment="1">
      <alignment horizontal="left"/>
    </xf>
    <xf numFmtId="0" fontId="6" fillId="0" borderId="0" xfId="0" applyFont="1"/>
    <xf numFmtId="164" fontId="0" fillId="0" borderId="0" xfId="0" applyNumberFormat="1"/>
    <xf numFmtId="164" fontId="0" fillId="0" borderId="0" xfId="0" applyNumberFormat="1" applyAlignment="1">
      <alignment horizontal="left"/>
    </xf>
    <xf numFmtId="0" fontId="0" fillId="3" borderId="0" xfId="0" applyFill="1"/>
    <xf numFmtId="0" fontId="12" fillId="0" borderId="0" xfId="0" applyFont="1"/>
    <xf numFmtId="0" fontId="0" fillId="4" borderId="13" xfId="0" applyFill="1" applyBorder="1"/>
    <xf numFmtId="0" fontId="0" fillId="4" borderId="12" xfId="0" applyFill="1" applyBorder="1"/>
    <xf numFmtId="0" fontId="13" fillId="0" borderId="0" xfId="0" applyFont="1" applyAlignment="1">
      <alignment horizontal="center"/>
    </xf>
    <xf numFmtId="0" fontId="15" fillId="0" borderId="0" xfId="0" applyFont="1"/>
    <xf numFmtId="0" fontId="14" fillId="0" borderId="0" xfId="0" applyFont="1"/>
    <xf numFmtId="0" fontId="0" fillId="5" borderId="0" xfId="0" applyFill="1"/>
    <xf numFmtId="0" fontId="11" fillId="0" borderId="0" xfId="0" applyFont="1"/>
    <xf numFmtId="0" fontId="16" fillId="0" borderId="0" xfId="0" applyFont="1" applyAlignment="1">
      <alignment horizontal="center"/>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w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wmf"/></Relationships>
</file>

<file path=xl/drawings/_rels/vmlDrawing4.vml.rels><?xml version="1.0" encoding="UTF-8" standalone="yes"?>
<Relationships xmlns="http://schemas.openxmlformats.org/package/2006/relationships"><Relationship Id="rId2" Type="http://schemas.openxmlformats.org/officeDocument/2006/relationships/image" Target="../media/image9.wmf"/><Relationship Id="rId1" Type="http://schemas.openxmlformats.org/officeDocument/2006/relationships/image" Target="../media/image8.w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3.wmf"/></Relationships>
</file>

<file path=xl/drawings/drawing1.xml><?xml version="1.0" encoding="utf-8"?>
<xdr:wsDr xmlns:xdr="http://schemas.openxmlformats.org/drawingml/2006/spreadsheetDrawing" xmlns:a="http://schemas.openxmlformats.org/drawingml/2006/main">
  <xdr:twoCellAnchor>
    <xdr:from>
      <xdr:col>2</xdr:col>
      <xdr:colOff>1962149</xdr:colOff>
      <xdr:row>2</xdr:row>
      <xdr:rowOff>95249</xdr:rowOff>
    </xdr:from>
    <xdr:to>
      <xdr:col>13</xdr:col>
      <xdr:colOff>371475</xdr:colOff>
      <xdr:row>18</xdr:row>
      <xdr:rowOff>104775</xdr:rowOff>
    </xdr:to>
    <xdr:grpSp>
      <xdr:nvGrpSpPr>
        <xdr:cNvPr id="2" name="Grupo 1"/>
        <xdr:cNvGrpSpPr/>
      </xdr:nvGrpSpPr>
      <xdr:grpSpPr>
        <a:xfrm>
          <a:off x="5750168" y="527537"/>
          <a:ext cx="7626595" cy="3072180"/>
          <a:chOff x="2600366" y="352437"/>
          <a:chExt cx="5618272" cy="1405713"/>
        </a:xfrm>
      </xdr:grpSpPr>
      <xdr:sp macro="" textlink="">
        <xdr:nvSpPr>
          <xdr:cNvPr id="3" name="CaixaDeTexto 2"/>
          <xdr:cNvSpPr txBox="1"/>
        </xdr:nvSpPr>
        <xdr:spPr>
          <a:xfrm>
            <a:off x="3532075" y="361951"/>
            <a:ext cx="4686563" cy="1396199"/>
          </a:xfrm>
          <a:prstGeom prst="rect">
            <a:avLst/>
          </a:prstGeom>
          <a:solidFill>
            <a:schemeClr val="bg1">
              <a:lumMod val="9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b="1">
                <a:solidFill>
                  <a:schemeClr val="tx1"/>
                </a:solidFill>
                <a:latin typeface="+mn-lt"/>
                <a:ea typeface="+mn-ea"/>
                <a:cs typeface="+mn-cs"/>
              </a:rPr>
              <a:t>QUESTÃO 1</a:t>
            </a:r>
            <a:endParaRPr lang="pt-BR" sz="1100">
              <a:solidFill>
                <a:schemeClr val="tx1"/>
              </a:solidFill>
              <a:latin typeface="+mn-lt"/>
              <a:ea typeface="+mn-ea"/>
              <a:cs typeface="+mn-cs"/>
            </a:endParaRPr>
          </a:p>
          <a:p>
            <a:r>
              <a:rPr lang="pt-BR" sz="1100">
                <a:solidFill>
                  <a:schemeClr val="tx1"/>
                </a:solidFill>
                <a:effectLst/>
                <a:latin typeface="+mn-lt"/>
                <a:ea typeface="+mn-ea"/>
                <a:cs typeface="+mn-cs"/>
              </a:rPr>
              <a:t>Um fabricante de refrigeradores oferece três linhas de produtos básicos, que podem ser descritas como “baixo”, “intermediário” e “alto” em termos comparativos de preços. Antes de uma promoção de vendas destinada a destacar as qualidades de refrigeradores de preço “alto”, as quantidades de vendas das três categorias eram, respectivamente, 23, 15 e 12. De uma amostra aleatória de 50 refrigeradores vendidos depois da promoção, as quantidades vendidas nas categorias de preço “baixo”, “intermediário” e “alto” foram, respectivamente, 15, 15 e 20. Usando o programa </a:t>
            </a:r>
            <a:r>
              <a:rPr lang="pt-BR" sz="1100" b="1" i="1">
                <a:solidFill>
                  <a:schemeClr val="tx1"/>
                </a:solidFill>
                <a:effectLst/>
                <a:latin typeface="+mn-lt"/>
                <a:ea typeface="+mn-ea"/>
                <a:cs typeface="+mn-cs"/>
              </a:rPr>
              <a:t>EXCEL</a:t>
            </a:r>
            <a:r>
              <a:rPr lang="pt-BR" sz="1100">
                <a:solidFill>
                  <a:schemeClr val="tx1"/>
                </a:solidFill>
                <a:effectLst/>
                <a:latin typeface="+mn-lt"/>
                <a:ea typeface="+mn-ea"/>
                <a:cs typeface="+mn-cs"/>
              </a:rPr>
              <a:t>, teste a hipótese de que o atual padrão de vendas não difere do padrão histórico, utilizando um nível de significância de 5%.</a:t>
            </a:r>
          </a:p>
          <a:p>
            <a:endParaRPr lang="pt-BR" sz="1100" baseline="0" smtClean="0">
              <a:solidFill>
                <a:schemeClr val="tx1"/>
              </a:solidFill>
              <a:effectLst/>
              <a:latin typeface="+mn-lt"/>
              <a:ea typeface="+mn-ea"/>
              <a:cs typeface="+mn-cs"/>
            </a:endParaRPr>
          </a:p>
          <a:p>
            <a:endParaRPr lang="pt-BR" sz="1100" baseline="0" smtClean="0">
              <a:solidFill>
                <a:schemeClr val="tx1"/>
              </a:solidFill>
              <a:effectLst/>
              <a:latin typeface="+mn-lt"/>
              <a:ea typeface="+mn-ea"/>
              <a:cs typeface="+mn-cs"/>
            </a:endParaRPr>
          </a:p>
          <a:p>
            <a:endParaRPr lang="pt-BR" sz="1100" baseline="0" smtClean="0">
              <a:solidFill>
                <a:schemeClr val="tx1"/>
              </a:solidFill>
              <a:effectLst/>
              <a:latin typeface="+mn-lt"/>
              <a:ea typeface="+mn-ea"/>
              <a:cs typeface="+mn-cs"/>
            </a:endParaRPr>
          </a:p>
          <a:p>
            <a:endParaRPr lang="pt-BR" sz="1100" baseline="0" smtClean="0">
              <a:solidFill>
                <a:schemeClr val="tx1"/>
              </a:solidFill>
              <a:latin typeface="+mn-lt"/>
              <a:ea typeface="+mn-ea"/>
              <a:cs typeface="+mn-cs"/>
            </a:endParaRPr>
          </a:p>
          <a:p>
            <a:endParaRPr lang="pt-BR" sz="1100" baseline="0" smtClean="0">
              <a:solidFill>
                <a:schemeClr val="tx1"/>
              </a:solidFill>
              <a:latin typeface="+mn-lt"/>
              <a:ea typeface="+mn-ea"/>
              <a:cs typeface="+mn-cs"/>
            </a:endParaRPr>
          </a:p>
          <a:p>
            <a:endParaRPr lang="pt-BR" sz="1100" baseline="0" smtClean="0">
              <a:solidFill>
                <a:schemeClr val="tx1"/>
              </a:solidFill>
              <a:latin typeface="+mn-lt"/>
              <a:ea typeface="+mn-ea"/>
              <a:cs typeface="+mn-cs"/>
            </a:endParaRPr>
          </a:p>
          <a:p>
            <a:endParaRPr lang="pt-BR" sz="1100" baseline="0" smtClean="0">
              <a:solidFill>
                <a:schemeClr val="tx1"/>
              </a:solidFill>
              <a:latin typeface="+mn-lt"/>
              <a:ea typeface="+mn-ea"/>
              <a:cs typeface="+mn-cs"/>
            </a:endParaRPr>
          </a:p>
          <a:p>
            <a:r>
              <a:rPr lang="pt-BR" sz="1100" b="1" i="1" baseline="0" smtClean="0">
                <a:solidFill>
                  <a:schemeClr val="tx1"/>
                </a:solidFill>
                <a:latin typeface="+mn-lt"/>
                <a:ea typeface="+mn-ea"/>
                <a:cs typeface="+mn-cs"/>
              </a:rPr>
              <a:t>Resposta: rejeita-se H0</a:t>
            </a:r>
            <a:endParaRPr lang="pt-BR" sz="1100" b="1" baseline="0" smtClean="0">
              <a:solidFill>
                <a:schemeClr val="tx1"/>
              </a:solidFill>
              <a:latin typeface="+mn-lt"/>
              <a:ea typeface="+mn-ea"/>
              <a:cs typeface="+mn-cs"/>
            </a:endParaRPr>
          </a:p>
        </xdr:txBody>
      </xdr:sp>
      <xdr:cxnSp macro="">
        <xdr:nvCxnSpPr>
          <xdr:cNvPr id="4" name="Conector angulado 3"/>
          <xdr:cNvCxnSpPr>
            <a:stCxn id="3" idx="1"/>
          </xdr:cNvCxnSpPr>
        </xdr:nvCxnSpPr>
        <xdr:spPr>
          <a:xfrm rot="10800000">
            <a:off x="2600366" y="352437"/>
            <a:ext cx="931709" cy="707613"/>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4</xdr:col>
      <xdr:colOff>361950</xdr:colOff>
      <xdr:row>9</xdr:row>
      <xdr:rowOff>180975</xdr:rowOff>
    </xdr:from>
    <xdr:to>
      <xdr:col>11</xdr:col>
      <xdr:colOff>295275</xdr:colOff>
      <xdr:row>15</xdr:row>
      <xdr:rowOff>50152</xdr:rowOff>
    </xdr:to>
    <xdr:pic>
      <xdr:nvPicPr>
        <xdr:cNvPr id="6" name="Imagem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53325" y="1962150"/>
          <a:ext cx="4543425" cy="1012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20052</xdr:colOff>
      <xdr:row>12</xdr:row>
      <xdr:rowOff>101408</xdr:rowOff>
    </xdr:from>
    <xdr:to>
      <xdr:col>2</xdr:col>
      <xdr:colOff>817145</xdr:colOff>
      <xdr:row>17</xdr:row>
      <xdr:rowOff>108785</xdr:rowOff>
    </xdr:to>
    <xdr:pic>
      <xdr:nvPicPr>
        <xdr:cNvPr id="8" name="Imagem 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4999" y="2457592"/>
          <a:ext cx="2702093" cy="959877"/>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1</xdr:col>
          <xdr:colOff>123825</xdr:colOff>
          <xdr:row>18</xdr:row>
          <xdr:rowOff>38100</xdr:rowOff>
        </xdr:from>
        <xdr:to>
          <xdr:col>3</xdr:col>
          <xdr:colOff>381000</xdr:colOff>
          <xdr:row>25</xdr:row>
          <xdr:rowOff>9525</xdr:rowOff>
        </xdr:to>
        <xdr:sp macro="" textlink="">
          <xdr:nvSpPr>
            <xdr:cNvPr id="1025" name="Object 1" hidden="1">
              <a:extLst>
                <a:ext uri="{63B3BB69-23CF-44E3-9099-C40C66FF867C}">
                  <a14:compatExt spid="_x0000_s102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1123950</xdr:colOff>
      <xdr:row>3</xdr:row>
      <xdr:rowOff>114299</xdr:rowOff>
    </xdr:from>
    <xdr:to>
      <xdr:col>15</xdr:col>
      <xdr:colOff>314326</xdr:colOff>
      <xdr:row>16</xdr:row>
      <xdr:rowOff>180974</xdr:rowOff>
    </xdr:to>
    <xdr:grpSp>
      <xdr:nvGrpSpPr>
        <xdr:cNvPr id="2" name="Grupo 1"/>
        <xdr:cNvGrpSpPr/>
      </xdr:nvGrpSpPr>
      <xdr:grpSpPr>
        <a:xfrm>
          <a:off x="4523642" y="737087"/>
          <a:ext cx="7623665" cy="2557829"/>
          <a:chOff x="2600366" y="352437"/>
          <a:chExt cx="5618272" cy="1405713"/>
        </a:xfrm>
      </xdr:grpSpPr>
      <xdr:sp macro="" textlink="">
        <xdr:nvSpPr>
          <xdr:cNvPr id="3" name="CaixaDeTexto 2"/>
          <xdr:cNvSpPr txBox="1"/>
        </xdr:nvSpPr>
        <xdr:spPr>
          <a:xfrm>
            <a:off x="3532075" y="361951"/>
            <a:ext cx="4686563" cy="1396199"/>
          </a:xfrm>
          <a:prstGeom prst="rect">
            <a:avLst/>
          </a:prstGeom>
          <a:solidFill>
            <a:schemeClr val="bg1">
              <a:lumMod val="9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b="1">
                <a:solidFill>
                  <a:schemeClr val="tx1"/>
                </a:solidFill>
                <a:latin typeface="+mn-lt"/>
                <a:ea typeface="+mn-ea"/>
                <a:cs typeface="+mn-cs"/>
              </a:rPr>
              <a:t>QUESTÃO 2</a:t>
            </a:r>
            <a:endParaRPr lang="pt-BR" sz="1100">
              <a:solidFill>
                <a:schemeClr val="tx1"/>
              </a:solidFill>
              <a:latin typeface="+mn-lt"/>
              <a:ea typeface="+mn-ea"/>
              <a:cs typeface="+mn-cs"/>
            </a:endParaRPr>
          </a:p>
          <a:p>
            <a:r>
              <a:rPr lang="pt-BR" sz="1100">
                <a:solidFill>
                  <a:schemeClr val="tx1"/>
                </a:solidFill>
                <a:effectLst/>
                <a:latin typeface="+mn-lt"/>
                <a:ea typeface="+mn-ea"/>
                <a:cs typeface="+mn-cs"/>
              </a:rPr>
              <a:t>Historicamente, um fabricante de televisores vende 40% de aparelhos com tela pequena (menos de 32 polegadas), 40 % com telas médias (de 32 a 42 polegadas) e 20% de aparelhos com telas grandes (de mais que 42 polegadas). Com o fim de estabelecer programas apropriados de produção para o próximo mês, o fabricante seleciona uma amostra aleatória de 100 vendas durante o atual período e encontra que 55 dos televisores adquiridos eram pequenos, 35 de tamanho médio e 10 são do tamanho grande. Usando o programa EXCEL, teste a hipótese de que o padrão histórico de vendas ainda prevalece, usando um nível de significância de 1 %.</a:t>
            </a:r>
          </a:p>
          <a:p>
            <a:r>
              <a:rPr lang="pt-BR" sz="1100" b="1" i="1">
                <a:effectLst/>
              </a:rPr>
              <a:t>Resposta: rejeita-se H</a:t>
            </a:r>
            <a:r>
              <a:rPr lang="pt-BR" sz="1100" b="1" i="1" baseline="-25000">
                <a:effectLst/>
              </a:rPr>
              <a:t>0</a:t>
            </a:r>
            <a:endParaRPr lang="pt-BR">
              <a:effectLst/>
            </a:endParaRPr>
          </a:p>
        </xdr:txBody>
      </xdr:sp>
      <xdr:cxnSp macro="">
        <xdr:nvCxnSpPr>
          <xdr:cNvPr id="4" name="Conector angulado 3"/>
          <xdr:cNvCxnSpPr>
            <a:stCxn id="3" idx="1"/>
          </xdr:cNvCxnSpPr>
        </xdr:nvCxnSpPr>
        <xdr:spPr>
          <a:xfrm rot="10800000">
            <a:off x="2600366" y="352437"/>
            <a:ext cx="931709" cy="707613"/>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0</xdr:col>
      <xdr:colOff>1540814</xdr:colOff>
      <xdr:row>12</xdr:row>
      <xdr:rowOff>50427</xdr:rowOff>
    </xdr:from>
    <xdr:to>
      <xdr:col>2</xdr:col>
      <xdr:colOff>1131314</xdr:colOff>
      <xdr:row>17</xdr:row>
      <xdr:rowOff>185682</xdr:rowOff>
    </xdr:to>
    <xdr:pic>
      <xdr:nvPicPr>
        <xdr:cNvPr id="5" name="Imagem 4"/>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814" y="2409265"/>
          <a:ext cx="2991485" cy="108775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xdr:col>
          <xdr:colOff>19050</xdr:colOff>
          <xdr:row>18</xdr:row>
          <xdr:rowOff>85725</xdr:rowOff>
        </xdr:from>
        <xdr:to>
          <xdr:col>5</xdr:col>
          <xdr:colOff>9525</xdr:colOff>
          <xdr:row>25</xdr:row>
          <xdr:rowOff>57150</xdr:rowOff>
        </xdr:to>
        <xdr:sp macro="" textlink="">
          <xdr:nvSpPr>
            <xdr:cNvPr id="2050" name="Object 2" hidden="1">
              <a:extLst>
                <a:ext uri="{63B3BB69-23CF-44E3-9099-C40C66FF867C}">
                  <a14:compatExt spid="_x0000_s205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12</xdr:col>
      <xdr:colOff>295275</xdr:colOff>
      <xdr:row>5</xdr:row>
      <xdr:rowOff>1</xdr:rowOff>
    </xdr:from>
    <xdr:to>
      <xdr:col>25</xdr:col>
      <xdr:colOff>9526</xdr:colOff>
      <xdr:row>16</xdr:row>
      <xdr:rowOff>180975</xdr:rowOff>
    </xdr:to>
    <xdr:grpSp>
      <xdr:nvGrpSpPr>
        <xdr:cNvPr id="2" name="Grupo 1"/>
        <xdr:cNvGrpSpPr/>
      </xdr:nvGrpSpPr>
      <xdr:grpSpPr>
        <a:xfrm>
          <a:off x="9458325" y="965201"/>
          <a:ext cx="7639051" cy="2435224"/>
          <a:chOff x="3216835" y="-239476"/>
          <a:chExt cx="5618272" cy="1224488"/>
        </a:xfrm>
      </xdr:grpSpPr>
      <xdr:sp macro="" textlink="">
        <xdr:nvSpPr>
          <xdr:cNvPr id="3" name="CaixaDeTexto 2"/>
          <xdr:cNvSpPr txBox="1"/>
        </xdr:nvSpPr>
        <xdr:spPr>
          <a:xfrm>
            <a:off x="4148544" y="-229961"/>
            <a:ext cx="4686563" cy="1214973"/>
          </a:xfrm>
          <a:prstGeom prst="rect">
            <a:avLst/>
          </a:prstGeom>
          <a:solidFill>
            <a:schemeClr val="bg1">
              <a:lumMod val="9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b="1">
                <a:solidFill>
                  <a:schemeClr val="tx1"/>
                </a:solidFill>
                <a:latin typeface="+mn-lt"/>
                <a:ea typeface="+mn-ea"/>
                <a:cs typeface="+mn-cs"/>
              </a:rPr>
              <a:t>QUESTÃO 3</a:t>
            </a:r>
            <a:endParaRPr lang="pt-BR" sz="1100">
              <a:solidFill>
                <a:schemeClr val="tx1"/>
              </a:solidFill>
              <a:latin typeface="+mn-lt"/>
              <a:ea typeface="+mn-ea"/>
              <a:cs typeface="+mn-cs"/>
            </a:endParaRPr>
          </a:p>
          <a:p>
            <a:r>
              <a:rPr lang="pt-BR" sz="1100">
                <a:solidFill>
                  <a:schemeClr val="tx1"/>
                </a:solidFill>
                <a:effectLst/>
                <a:latin typeface="+mn-lt"/>
                <a:ea typeface="+mn-ea"/>
                <a:cs typeface="+mn-cs"/>
              </a:rPr>
              <a:t>A tabela abaixo apresenta a reação dos eleitores frente a um novo plano de tributação sobre propriedades, segundo a filiação partidária. Com estes dados e usando o programa EXCEL, teste a hipótese de que não existe relação entre a filiação partidária e a reação do eleitor, utilizando um nível de significância de 1%.</a:t>
            </a:r>
          </a:p>
          <a:p>
            <a:endParaRPr lang="pt-BR" sz="1100" baseline="0" smtClean="0">
              <a:solidFill>
                <a:schemeClr val="tx1"/>
              </a:solidFill>
              <a:effectLst/>
              <a:latin typeface="+mn-lt"/>
              <a:ea typeface="+mn-ea"/>
              <a:cs typeface="+mn-cs"/>
            </a:endParaRPr>
          </a:p>
          <a:p>
            <a:endParaRPr lang="pt-BR" sz="1100" baseline="0" smtClean="0">
              <a:solidFill>
                <a:schemeClr val="tx1"/>
              </a:solidFill>
              <a:effectLst/>
              <a:latin typeface="+mn-lt"/>
              <a:ea typeface="+mn-ea"/>
              <a:cs typeface="+mn-cs"/>
            </a:endParaRPr>
          </a:p>
          <a:p>
            <a:endParaRPr lang="pt-BR" sz="1100" baseline="0" smtClean="0">
              <a:solidFill>
                <a:schemeClr val="tx1"/>
              </a:solidFill>
              <a:effectLst/>
              <a:latin typeface="+mn-lt"/>
              <a:ea typeface="+mn-ea"/>
              <a:cs typeface="+mn-cs"/>
            </a:endParaRPr>
          </a:p>
          <a:p>
            <a:endParaRPr lang="pt-BR" sz="1100" baseline="0" smtClean="0">
              <a:solidFill>
                <a:schemeClr val="tx1"/>
              </a:solidFill>
              <a:effectLst/>
              <a:latin typeface="+mn-lt"/>
              <a:ea typeface="+mn-ea"/>
              <a:cs typeface="+mn-cs"/>
            </a:endParaRPr>
          </a:p>
          <a:p>
            <a:endParaRPr lang="pt-BR" sz="1100" baseline="0" smtClean="0">
              <a:solidFill>
                <a:schemeClr val="tx1"/>
              </a:solidFill>
              <a:effectLst/>
              <a:latin typeface="+mn-lt"/>
              <a:ea typeface="+mn-ea"/>
              <a:cs typeface="+mn-cs"/>
            </a:endParaRPr>
          </a:p>
          <a:p>
            <a:endParaRPr lang="pt-BR" sz="1100" baseline="0" smtClean="0">
              <a:solidFill>
                <a:schemeClr val="tx1"/>
              </a:solidFill>
              <a:effectLst/>
              <a:latin typeface="+mn-lt"/>
              <a:ea typeface="+mn-ea"/>
              <a:cs typeface="+mn-cs"/>
            </a:endParaRPr>
          </a:p>
          <a:p>
            <a:endParaRPr lang="pt-BR" sz="1100" baseline="0" smtClean="0">
              <a:solidFill>
                <a:schemeClr val="tx1"/>
              </a:solidFill>
              <a:effectLst/>
              <a:latin typeface="+mn-lt"/>
              <a:ea typeface="+mn-ea"/>
              <a:cs typeface="+mn-cs"/>
            </a:endParaRPr>
          </a:p>
          <a:p>
            <a:endParaRPr lang="pt-BR" sz="1100" baseline="0" smtClean="0">
              <a:solidFill>
                <a:schemeClr val="tx1"/>
              </a:solidFill>
              <a:effectLst/>
              <a:latin typeface="+mn-lt"/>
              <a:ea typeface="+mn-ea"/>
              <a:cs typeface="+mn-cs"/>
            </a:endParaRPr>
          </a:p>
          <a:p>
            <a:r>
              <a:rPr lang="pt-BR" sz="1100" baseline="0" smtClean="0">
                <a:solidFill>
                  <a:schemeClr val="tx1"/>
                </a:solidFill>
                <a:latin typeface="+mn-lt"/>
                <a:ea typeface="+mn-ea"/>
                <a:cs typeface="+mn-cs"/>
              </a:rPr>
              <a:t> </a:t>
            </a:r>
            <a:r>
              <a:rPr lang="pt-BR" sz="1100" b="1" i="1" baseline="0" smtClean="0">
                <a:solidFill>
                  <a:schemeClr val="tx1"/>
                </a:solidFill>
                <a:latin typeface="+mn-lt"/>
                <a:ea typeface="+mn-ea"/>
                <a:cs typeface="+mn-cs"/>
              </a:rPr>
              <a:t>Resposta: rejeita-se H0</a:t>
            </a:r>
            <a:endParaRPr lang="pt-BR" sz="1100" baseline="0" smtClean="0">
              <a:solidFill>
                <a:schemeClr val="tx1"/>
              </a:solidFill>
              <a:latin typeface="+mn-lt"/>
              <a:ea typeface="+mn-ea"/>
              <a:cs typeface="+mn-cs"/>
            </a:endParaRPr>
          </a:p>
        </xdr:txBody>
      </xdr:sp>
      <xdr:cxnSp macro="">
        <xdr:nvCxnSpPr>
          <xdr:cNvPr id="4" name="Conector angulado 3"/>
          <xdr:cNvCxnSpPr>
            <a:stCxn id="3" idx="1"/>
          </xdr:cNvCxnSpPr>
        </xdr:nvCxnSpPr>
        <xdr:spPr>
          <a:xfrm rot="10800000">
            <a:off x="3216835" y="-239476"/>
            <a:ext cx="931709" cy="617002"/>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16</xdr:col>
      <xdr:colOff>447675</xdr:colOff>
      <xdr:row>9</xdr:row>
      <xdr:rowOff>104775</xdr:rowOff>
    </xdr:from>
    <xdr:to>
      <xdr:col>22</xdr:col>
      <xdr:colOff>561975</xdr:colOff>
      <xdr:row>14</xdr:row>
      <xdr:rowOff>76200</xdr:rowOff>
    </xdr:to>
    <xdr:pic>
      <xdr:nvPicPr>
        <xdr:cNvPr id="5" name="Imagem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1838325"/>
          <a:ext cx="3771900"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8</xdr:col>
      <xdr:colOff>714375</xdr:colOff>
      <xdr:row>0</xdr:row>
      <xdr:rowOff>38100</xdr:rowOff>
    </xdr:from>
    <xdr:ext cx="3219450" cy="311496"/>
    <xdr:sp macro="" textlink="">
      <xdr:nvSpPr>
        <xdr:cNvPr id="6" name="CaixaDeTexto 5"/>
        <xdr:cNvSpPr txBox="1"/>
      </xdr:nvSpPr>
      <xdr:spPr>
        <a:xfrm>
          <a:off x="714375" y="38100"/>
          <a:ext cx="3219450" cy="311496"/>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pt-BR" sz="1400" b="1"/>
            <a:t>Cálculo das Frequências Esperadas</a:t>
          </a:r>
        </a:p>
      </xdr:txBody>
    </xdr:sp>
    <xdr:clientData/>
  </xdr:oneCellAnchor>
  <xdr:oneCellAnchor>
    <xdr:from>
      <xdr:col>0</xdr:col>
      <xdr:colOff>142875</xdr:colOff>
      <xdr:row>0</xdr:row>
      <xdr:rowOff>38100</xdr:rowOff>
    </xdr:from>
    <xdr:ext cx="3219450" cy="311496"/>
    <xdr:sp macro="" textlink="">
      <xdr:nvSpPr>
        <xdr:cNvPr id="7" name="CaixaDeTexto 6"/>
        <xdr:cNvSpPr txBox="1"/>
      </xdr:nvSpPr>
      <xdr:spPr>
        <a:xfrm>
          <a:off x="142875" y="38100"/>
          <a:ext cx="3219450" cy="311496"/>
        </a:xfrm>
        <a:prstGeom prst="rect">
          <a:avLst/>
        </a:prstGeom>
        <a:solidFill>
          <a:schemeClr val="accent3">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pt-BR" sz="1400" b="1"/>
            <a:t>Frequências Observadas</a:t>
          </a:r>
        </a:p>
      </xdr:txBody>
    </xdr:sp>
    <xdr:clientData/>
  </xdr:oneCellAnchor>
  <mc:AlternateContent xmlns:mc="http://schemas.openxmlformats.org/markup-compatibility/2006">
    <mc:Choice xmlns:a14="http://schemas.microsoft.com/office/drawing/2010/main" Requires="a14">
      <xdr:twoCellAnchor>
        <xdr:from>
          <xdr:col>9</xdr:col>
          <xdr:colOff>409575</xdr:colOff>
          <xdr:row>11</xdr:row>
          <xdr:rowOff>142875</xdr:rowOff>
        </xdr:from>
        <xdr:to>
          <xdr:col>10</xdr:col>
          <xdr:colOff>161925</xdr:colOff>
          <xdr:row>13</xdr:row>
          <xdr:rowOff>200025</xdr:rowOff>
        </xdr:to>
        <xdr:sp macro="" textlink="">
          <xdr:nvSpPr>
            <xdr:cNvPr id="3075" name="Object 3" hidden="1">
              <a:extLst>
                <a:ext uri="{63B3BB69-23CF-44E3-9099-C40C66FF867C}">
                  <a14:compatExt spid="_x0000_s3075"/>
                </a:ext>
              </a:extLst>
            </xdr:cNvPr>
            <xdr:cNvSpPr/>
          </xdr:nvSpPr>
          <xdr:spPr bwMode="auto">
            <a:xfrm>
              <a:off x="0" y="0"/>
              <a:ext cx="0" cy="0"/>
            </a:xfrm>
            <a:prstGeom prst="rect">
              <a:avLst/>
            </a:prstGeom>
            <a:noFill/>
            <a:ln w="9525">
              <a:solidFill>
                <a:srgbClr val="000000" mc:Ignorable="a14" a14:legacySpreadsheetColorIndex="64"/>
              </a:solidFill>
              <a:miter lim="800000"/>
              <a:headEnd/>
              <a:tailEnd/>
            </a:ln>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0</xdr:colOff>
          <xdr:row>0</xdr:row>
          <xdr:rowOff>66675</xdr:rowOff>
        </xdr:from>
        <xdr:to>
          <xdr:col>5</xdr:col>
          <xdr:colOff>1438275</xdr:colOff>
          <xdr:row>4</xdr:row>
          <xdr:rowOff>85725</xdr:rowOff>
        </xdr:to>
        <xdr:sp macro="" textlink="">
          <xdr:nvSpPr>
            <xdr:cNvPr id="6145" name="Object 1" hidden="1">
              <a:extLst>
                <a:ext uri="{63B3BB69-23CF-44E3-9099-C40C66FF867C}">
                  <a14:compatExt spid="_x0000_s614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0</xdr:row>
          <xdr:rowOff>152400</xdr:rowOff>
        </xdr:from>
        <xdr:to>
          <xdr:col>6</xdr:col>
          <xdr:colOff>1628775</xdr:colOff>
          <xdr:row>3</xdr:row>
          <xdr:rowOff>104775</xdr:rowOff>
        </xdr:to>
        <xdr:sp macro="" textlink="">
          <xdr:nvSpPr>
            <xdr:cNvPr id="6146" name="Object 2" hidden="1">
              <a:extLst>
                <a:ext uri="{63B3BB69-23CF-44E3-9099-C40C66FF867C}">
                  <a14:compatExt spid="_x0000_s614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0</xdr:col>
      <xdr:colOff>484909</xdr:colOff>
      <xdr:row>17</xdr:row>
      <xdr:rowOff>95250</xdr:rowOff>
    </xdr:from>
    <xdr:to>
      <xdr:col>3</xdr:col>
      <xdr:colOff>1523031</xdr:colOff>
      <xdr:row>54</xdr:row>
      <xdr:rowOff>8659</xdr:rowOff>
    </xdr:to>
    <xdr:sp macro="" textlink="">
      <xdr:nvSpPr>
        <xdr:cNvPr id="4" name="CaixaDeTexto 3"/>
        <xdr:cNvSpPr txBox="1"/>
      </xdr:nvSpPr>
      <xdr:spPr>
        <a:xfrm>
          <a:off x="484909" y="3351068"/>
          <a:ext cx="6389440" cy="6979227"/>
        </a:xfrm>
        <a:prstGeom prst="rect">
          <a:avLst/>
        </a:prstGeom>
        <a:solidFill>
          <a:schemeClr val="bg1">
            <a:lumMod val="9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b="1">
              <a:solidFill>
                <a:schemeClr val="tx1"/>
              </a:solidFill>
              <a:latin typeface="+mn-lt"/>
              <a:ea typeface="+mn-ea"/>
              <a:cs typeface="+mn-cs"/>
            </a:rPr>
            <a:t>QUESTÃO 4</a:t>
          </a:r>
          <a:endParaRPr lang="pt-BR" sz="1100">
            <a:solidFill>
              <a:schemeClr val="tx1"/>
            </a:solidFill>
            <a:latin typeface="+mn-lt"/>
            <a:ea typeface="+mn-ea"/>
            <a:cs typeface="+mn-cs"/>
          </a:endParaRPr>
        </a:p>
        <a:p>
          <a:r>
            <a:rPr lang="pt-BR" sz="1100">
              <a:solidFill>
                <a:schemeClr val="tx1"/>
              </a:solidFill>
              <a:effectLst/>
              <a:latin typeface="+mn-lt"/>
              <a:ea typeface="+mn-ea"/>
              <a:cs typeface="+mn-cs"/>
            </a:rPr>
            <a:t>No campo da auditoria, existem técnicas de mineração de dados que servem de auxílio no processo de detecção de fraudes financeira (por exemplo, em auditoria de obras públicas, fraude em registro contábil de certos parâmetros financeiros em empresas públicas e privadas). Uma metodologia muito utilizada é a </a:t>
          </a:r>
          <a:r>
            <a:rPr lang="pt-BR" sz="1100" b="1" i="1">
              <a:solidFill>
                <a:schemeClr val="tx1"/>
              </a:solidFill>
              <a:effectLst/>
              <a:latin typeface="+mn-lt"/>
              <a:ea typeface="+mn-ea"/>
              <a:cs typeface="+mn-cs"/>
            </a:rPr>
            <a:t>Lei de Newcomb-Benford</a:t>
          </a:r>
          <a:r>
            <a:rPr lang="pt-BR" sz="1100">
              <a:solidFill>
                <a:schemeClr val="tx1"/>
              </a:solidFill>
              <a:effectLst/>
              <a:latin typeface="+mn-lt"/>
              <a:ea typeface="+mn-ea"/>
              <a:cs typeface="+mn-cs"/>
            </a:rPr>
            <a:t>, que confronta a probabilidade de ocorrência esperada de dígitos com a probabilidade observada, ou seja, detecta  discrepância em relação a um padrão universal de ocorrência dos dígitos. Tal probabilidade esperada é descrita pela referida lei através da função </a:t>
          </a:r>
          <a:r>
            <a:rPr lang="pt-BR" sz="1100" i="1">
              <a:solidFill>
                <a:schemeClr val="tx1"/>
              </a:solidFill>
              <a:effectLst/>
              <a:latin typeface="+mn-lt"/>
              <a:ea typeface="+mn-ea"/>
              <a:cs typeface="+mn-cs"/>
            </a:rPr>
            <a:t>Pe(d)=log</a:t>
          </a:r>
          <a:r>
            <a:rPr lang="pt-BR" sz="1100" i="1" baseline="-25000">
              <a:solidFill>
                <a:schemeClr val="tx1"/>
              </a:solidFill>
              <a:effectLst/>
              <a:latin typeface="+mn-lt"/>
              <a:ea typeface="+mn-ea"/>
              <a:cs typeface="+mn-cs"/>
            </a:rPr>
            <a:t>10</a:t>
          </a:r>
          <a:r>
            <a:rPr lang="pt-BR" sz="1100" i="1">
              <a:solidFill>
                <a:schemeClr val="tx1"/>
              </a:solidFill>
              <a:effectLst/>
              <a:latin typeface="+mn-lt"/>
              <a:ea typeface="+mn-ea"/>
              <a:cs typeface="+mn-cs"/>
            </a:rPr>
            <a:t> (1+1/d)</a:t>
          </a:r>
          <a:r>
            <a:rPr lang="pt-BR" sz="1100">
              <a:solidFill>
                <a:schemeClr val="tx1"/>
              </a:solidFill>
              <a:effectLst/>
              <a:latin typeface="+mn-lt"/>
              <a:ea typeface="+mn-ea"/>
              <a:cs typeface="+mn-cs"/>
            </a:rPr>
            <a:t>, onde </a:t>
          </a:r>
          <a:r>
            <a:rPr lang="pt-BR" sz="1100" i="1">
              <a:solidFill>
                <a:schemeClr val="tx1"/>
              </a:solidFill>
              <a:effectLst/>
              <a:latin typeface="+mn-lt"/>
              <a:ea typeface="+mn-ea"/>
              <a:cs typeface="+mn-cs"/>
            </a:rPr>
            <a:t>d</a:t>
          </a:r>
          <a:r>
            <a:rPr lang="pt-BR" sz="1100">
              <a:solidFill>
                <a:schemeClr val="tx1"/>
              </a:solidFill>
              <a:effectLst/>
              <a:latin typeface="+mn-lt"/>
              <a:ea typeface="+mn-ea"/>
              <a:cs typeface="+mn-cs"/>
            </a:rPr>
            <a:t> é o valor do primeiro dígito e </a:t>
          </a:r>
          <a:r>
            <a:rPr lang="pt-BR" sz="1100" i="1">
              <a:solidFill>
                <a:schemeClr val="tx1"/>
              </a:solidFill>
              <a:effectLst/>
              <a:latin typeface="+mn-lt"/>
              <a:ea typeface="+mn-ea"/>
              <a:cs typeface="+mn-cs"/>
            </a:rPr>
            <a:t>P(d)</a:t>
          </a:r>
          <a:r>
            <a:rPr lang="pt-BR" sz="1100">
              <a:solidFill>
                <a:schemeClr val="tx1"/>
              </a:solidFill>
              <a:effectLst/>
              <a:latin typeface="+mn-lt"/>
              <a:ea typeface="+mn-ea"/>
              <a:cs typeface="+mn-cs"/>
            </a:rPr>
            <a:t> é a probabilidade de ocorrência deste dígito num dado número.</a:t>
          </a:r>
        </a:p>
        <a:p>
          <a:r>
            <a:rPr lang="pt-BR" sz="1100" i="1">
              <a:solidFill>
                <a:schemeClr val="tx1"/>
              </a:solidFill>
              <a:effectLst/>
              <a:latin typeface="+mn-lt"/>
              <a:ea typeface="+mn-ea"/>
              <a:cs typeface="+mn-cs"/>
            </a:rPr>
            <a:t>Frank Benford</a:t>
          </a:r>
          <a:r>
            <a:rPr lang="pt-BR" sz="1100">
              <a:solidFill>
                <a:schemeClr val="tx1"/>
              </a:solidFill>
              <a:effectLst/>
              <a:latin typeface="+mn-lt"/>
              <a:ea typeface="+mn-ea"/>
              <a:cs typeface="+mn-cs"/>
            </a:rPr>
            <a:t> demonstrou que tal lei se aplica a uma ampla variedade de conjuntos de dados, incluindo valores de contas comerciais, precificação de ações, mercado imobiliário, taxas de mortalidade, registros de imposto de renda, valores de faturas de compra e venda etc).</a:t>
          </a:r>
        </a:p>
        <a:p>
          <a:pPr marL="0" marR="0" indent="0" defTabSz="914400" eaLnBrk="1" fontAlgn="auto" latinLnBrk="0" hangingPunct="1">
            <a:lnSpc>
              <a:spcPct val="100000"/>
            </a:lnSpc>
            <a:spcBef>
              <a:spcPts val="0"/>
            </a:spcBef>
            <a:spcAft>
              <a:spcPts val="0"/>
            </a:spcAft>
            <a:buClrTx/>
            <a:buSzTx/>
            <a:buFontTx/>
            <a:buNone/>
            <a:tabLst/>
            <a:defRPr/>
          </a:pPr>
          <a:endParaRPr lang="pt-BR" sz="1100">
            <a:solidFill>
              <a:schemeClr val="tx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A tabela 1 ilustra os valores da </a:t>
          </a:r>
          <a:r>
            <a:rPr lang="pt-BR" sz="1100" b="1" i="1">
              <a:solidFill>
                <a:schemeClr val="tx1"/>
              </a:solidFill>
              <a:effectLst/>
              <a:latin typeface="+mn-lt"/>
              <a:ea typeface="+mn-ea"/>
              <a:cs typeface="+mn-cs"/>
            </a:rPr>
            <a:t>Lei de Newcomb-Benford</a:t>
          </a:r>
          <a:r>
            <a:rPr lang="pt-BR" sz="1100">
              <a:solidFill>
                <a:schemeClr val="tx1"/>
              </a:solidFill>
              <a:effectLst/>
              <a:latin typeface="+mn-lt"/>
              <a:ea typeface="+mn-ea"/>
              <a:cs typeface="+mn-cs"/>
            </a:rPr>
            <a:t>.</a:t>
          </a:r>
        </a:p>
        <a:p>
          <a:endParaRPr lang="pt-BR" sz="1100">
            <a:solidFill>
              <a:schemeClr val="tx1"/>
            </a:solidFill>
            <a:effectLst/>
            <a:latin typeface="+mn-lt"/>
            <a:ea typeface="+mn-ea"/>
            <a:cs typeface="+mn-cs"/>
          </a:endParaRPr>
        </a:p>
        <a:p>
          <a:r>
            <a:rPr lang="pt-BR" sz="1100">
              <a:solidFill>
                <a:schemeClr val="tx1"/>
              </a:solidFill>
              <a:effectLst/>
              <a:latin typeface="+mn-lt"/>
              <a:ea typeface="+mn-ea"/>
              <a:cs typeface="+mn-cs"/>
            </a:rPr>
            <a:t>Como ilustração para verificação, tem-se ao lado um conjunto de registros do primeiro dígito relativo a 500 valores de lucros de uma empresa, a partir de observações de dados históricos, obtidas de uma pesquisa. A tabela 2 mostra as frequências observadas.</a:t>
          </a:r>
        </a:p>
        <a:p>
          <a:r>
            <a:rPr lang="pt-BR" sz="1100">
              <a:solidFill>
                <a:schemeClr val="tx1"/>
              </a:solidFill>
              <a:effectLst/>
              <a:latin typeface="+mn-lt"/>
              <a:ea typeface="+mn-ea"/>
              <a:cs typeface="+mn-cs"/>
            </a:rPr>
            <a:t>Considere que as estatísticas calculadas de padronização para as distribuições </a:t>
          </a:r>
          <a:r>
            <a:rPr lang="pt-BR" sz="1100" i="1">
              <a:solidFill>
                <a:schemeClr val="tx1"/>
              </a:solidFill>
              <a:effectLst/>
              <a:latin typeface="+mn-lt"/>
              <a:ea typeface="+mn-ea"/>
              <a:cs typeface="+mn-cs"/>
            </a:rPr>
            <a:t>z</a:t>
          </a:r>
          <a:r>
            <a:rPr lang="pt-BR" sz="1100">
              <a:solidFill>
                <a:schemeClr val="tx1"/>
              </a:solidFill>
              <a:effectLst/>
              <a:latin typeface="+mn-lt"/>
              <a:ea typeface="+mn-ea"/>
              <a:cs typeface="+mn-cs"/>
            </a:rPr>
            <a:t> e </a:t>
          </a:r>
          <a:r>
            <a:rPr lang="pt-BR" sz="1100">
              <a:solidFill>
                <a:schemeClr val="tx1"/>
              </a:solidFill>
              <a:effectLst/>
              <a:latin typeface="+mn-lt"/>
              <a:ea typeface="+mn-ea"/>
              <a:cs typeface="+mn-cs"/>
              <a:sym typeface="Symbol" panose="05050102010706020507" pitchFamily="18" charset="2"/>
            </a:rPr>
            <a:t></a:t>
          </a:r>
          <a:r>
            <a:rPr lang="pt-BR" sz="1100" baseline="30000">
              <a:solidFill>
                <a:schemeClr val="tx1"/>
              </a:solidFill>
              <a:effectLst/>
              <a:latin typeface="+mn-lt"/>
              <a:ea typeface="+mn-ea"/>
              <a:cs typeface="+mn-cs"/>
            </a:rPr>
            <a:t>2</a:t>
          </a:r>
          <a:r>
            <a:rPr lang="pt-BR" sz="1100">
              <a:solidFill>
                <a:schemeClr val="tx1"/>
              </a:solidFill>
              <a:effectLst/>
              <a:latin typeface="+mn-lt"/>
              <a:ea typeface="+mn-ea"/>
              <a:cs typeface="+mn-cs"/>
            </a:rPr>
            <a:t> sejam dadas pelas expressões, respectivamente:</a:t>
          </a:r>
        </a:p>
        <a:p>
          <a:endParaRPr lang="pt-BR" sz="1100" baseline="0" smtClean="0">
            <a:solidFill>
              <a:schemeClr val="tx1"/>
            </a:solidFill>
            <a:effectLst/>
            <a:latin typeface="+mn-lt"/>
            <a:ea typeface="+mn-ea"/>
            <a:cs typeface="+mn-cs"/>
          </a:endParaRPr>
        </a:p>
        <a:p>
          <a:endParaRPr lang="pt-BR" sz="1100" baseline="0" smtClean="0">
            <a:solidFill>
              <a:schemeClr val="tx1"/>
            </a:solidFill>
            <a:effectLst/>
            <a:latin typeface="+mn-lt"/>
            <a:ea typeface="+mn-ea"/>
            <a:cs typeface="+mn-cs"/>
          </a:endParaRPr>
        </a:p>
        <a:p>
          <a:endParaRPr lang="pt-BR" sz="1100" baseline="0" smtClean="0">
            <a:solidFill>
              <a:schemeClr val="tx1"/>
            </a:solidFill>
            <a:effectLst/>
            <a:latin typeface="+mn-lt"/>
            <a:ea typeface="+mn-ea"/>
            <a:cs typeface="+mn-cs"/>
          </a:endParaRPr>
        </a:p>
        <a:p>
          <a:endParaRPr lang="pt-BR" sz="1100" baseline="0" smtClean="0">
            <a:solidFill>
              <a:schemeClr val="tx1"/>
            </a:solidFill>
            <a:effectLst/>
            <a:latin typeface="+mn-lt"/>
            <a:ea typeface="+mn-ea"/>
            <a:cs typeface="+mn-cs"/>
          </a:endParaRPr>
        </a:p>
        <a:p>
          <a:endParaRPr lang="pt-BR" sz="1100">
            <a:solidFill>
              <a:schemeClr val="tx1"/>
            </a:solidFill>
            <a:effectLst/>
            <a:latin typeface="+mn-lt"/>
            <a:ea typeface="+mn-ea"/>
            <a:cs typeface="+mn-cs"/>
          </a:endParaRPr>
        </a:p>
        <a:p>
          <a:endParaRPr lang="pt-BR" sz="1100">
            <a:solidFill>
              <a:schemeClr val="tx1"/>
            </a:solidFill>
            <a:effectLst/>
            <a:latin typeface="+mn-lt"/>
            <a:ea typeface="+mn-ea"/>
            <a:cs typeface="+mn-cs"/>
          </a:endParaRPr>
        </a:p>
        <a:p>
          <a:endParaRPr lang="pt-BR" sz="1100">
            <a:solidFill>
              <a:schemeClr val="tx1"/>
            </a:solidFill>
            <a:effectLst/>
            <a:latin typeface="+mn-lt"/>
            <a:ea typeface="+mn-ea"/>
            <a:cs typeface="+mn-cs"/>
          </a:endParaRPr>
        </a:p>
        <a:p>
          <a:r>
            <a:rPr lang="pt-BR" sz="1100">
              <a:solidFill>
                <a:schemeClr val="tx1"/>
              </a:solidFill>
              <a:effectLst/>
              <a:latin typeface="+mn-lt"/>
              <a:ea typeface="+mn-ea"/>
              <a:cs typeface="+mn-cs"/>
            </a:rPr>
            <a:t>onde:</a:t>
          </a:r>
        </a:p>
        <a:p>
          <a:r>
            <a:rPr lang="pt-BR" sz="1100" i="1">
              <a:solidFill>
                <a:schemeClr val="tx1"/>
              </a:solidFill>
              <a:effectLst/>
              <a:latin typeface="+mn-lt"/>
              <a:ea typeface="+mn-ea"/>
              <a:cs typeface="+mn-cs"/>
            </a:rPr>
            <a:t>p</a:t>
          </a:r>
          <a:r>
            <a:rPr lang="pt-BR" sz="1100" i="1" baseline="-25000">
              <a:solidFill>
                <a:schemeClr val="tx1"/>
              </a:solidFill>
              <a:effectLst/>
              <a:latin typeface="+mn-lt"/>
              <a:ea typeface="+mn-ea"/>
              <a:cs typeface="+mn-cs"/>
            </a:rPr>
            <a:t>o</a:t>
          </a:r>
          <a:r>
            <a:rPr lang="pt-BR" sz="1100">
              <a:solidFill>
                <a:schemeClr val="tx1"/>
              </a:solidFill>
              <a:effectLst/>
              <a:latin typeface="+mn-lt"/>
              <a:ea typeface="+mn-ea"/>
              <a:cs typeface="+mn-cs"/>
            </a:rPr>
            <a:t> é a probabilidade observada de cada dígito específico (de 1 a 9);</a:t>
          </a:r>
        </a:p>
        <a:p>
          <a:r>
            <a:rPr lang="pt-BR" sz="1100" i="1">
              <a:solidFill>
                <a:schemeClr val="tx1"/>
              </a:solidFill>
              <a:effectLst/>
              <a:latin typeface="+mn-lt"/>
              <a:ea typeface="+mn-ea"/>
              <a:cs typeface="+mn-cs"/>
            </a:rPr>
            <a:t>p</a:t>
          </a:r>
          <a:r>
            <a:rPr lang="pt-BR" sz="1100" i="1" baseline="-25000">
              <a:solidFill>
                <a:schemeClr val="tx1"/>
              </a:solidFill>
              <a:effectLst/>
              <a:latin typeface="+mn-lt"/>
              <a:ea typeface="+mn-ea"/>
              <a:cs typeface="+mn-cs"/>
            </a:rPr>
            <a:t>e</a:t>
          </a:r>
          <a:r>
            <a:rPr lang="pt-BR" sz="1100">
              <a:solidFill>
                <a:schemeClr val="tx1"/>
              </a:solidFill>
              <a:effectLst/>
              <a:latin typeface="+mn-lt"/>
              <a:ea typeface="+mn-ea"/>
              <a:cs typeface="+mn-cs"/>
            </a:rPr>
            <a:t> é a probabilidade esperada de cada dígito de acordo com a probabilidade definida pela </a:t>
          </a:r>
          <a:r>
            <a:rPr lang="pt-BR" sz="1100" i="1">
              <a:solidFill>
                <a:schemeClr val="tx1"/>
              </a:solidFill>
              <a:effectLst/>
              <a:latin typeface="+mn-lt"/>
              <a:ea typeface="+mn-ea"/>
              <a:cs typeface="+mn-cs"/>
            </a:rPr>
            <a:t>Lei de Newcomb-Benford</a:t>
          </a:r>
          <a:r>
            <a:rPr lang="pt-BR" sz="1100">
              <a:solidFill>
                <a:schemeClr val="tx1"/>
              </a:solidFill>
              <a:effectLst/>
              <a:latin typeface="+mn-lt"/>
              <a:ea typeface="+mn-ea"/>
              <a:cs typeface="+mn-cs"/>
            </a:rPr>
            <a:t> para cada primeiro dígito;</a:t>
          </a:r>
        </a:p>
        <a:p>
          <a:r>
            <a:rPr lang="pt-BR" sz="1100" i="1">
              <a:solidFill>
                <a:schemeClr val="tx1"/>
              </a:solidFill>
              <a:effectLst/>
              <a:latin typeface="+mn-lt"/>
              <a:ea typeface="+mn-ea"/>
              <a:cs typeface="+mn-cs"/>
            </a:rPr>
            <a:t>n</a:t>
          </a:r>
          <a:r>
            <a:rPr lang="pt-BR" sz="1100">
              <a:solidFill>
                <a:schemeClr val="tx1"/>
              </a:solidFill>
              <a:effectLst/>
              <a:latin typeface="+mn-lt"/>
              <a:ea typeface="+mn-ea"/>
              <a:cs typeface="+mn-cs"/>
            </a:rPr>
            <a:t> é o número de observações.</a:t>
          </a:r>
        </a:p>
        <a:p>
          <a:r>
            <a:rPr lang="pt-BR" sz="1100">
              <a:solidFill>
                <a:schemeClr val="tx1"/>
              </a:solidFill>
              <a:effectLst/>
              <a:latin typeface="+mn-lt"/>
              <a:ea typeface="+mn-ea"/>
              <a:cs typeface="+mn-cs"/>
            </a:rPr>
            <a:t> </a:t>
          </a:r>
        </a:p>
        <a:p>
          <a:r>
            <a:rPr lang="pt-BR" sz="1100">
              <a:solidFill>
                <a:schemeClr val="tx1"/>
              </a:solidFill>
              <a:effectLst/>
              <a:latin typeface="+mn-lt"/>
              <a:ea typeface="+mn-ea"/>
              <a:cs typeface="+mn-cs"/>
            </a:rPr>
            <a:t>Com base nessas informações e usando o software </a:t>
          </a:r>
          <a:r>
            <a:rPr lang="pt-BR" sz="1100" b="1">
              <a:solidFill>
                <a:schemeClr val="tx1"/>
              </a:solidFill>
              <a:effectLst/>
              <a:latin typeface="+mn-lt"/>
              <a:ea typeface="+mn-ea"/>
              <a:cs typeface="+mn-cs"/>
            </a:rPr>
            <a:t>EXCEL</a:t>
          </a:r>
          <a:r>
            <a:rPr lang="pt-BR" sz="1100">
              <a:solidFill>
                <a:schemeClr val="tx1"/>
              </a:solidFill>
              <a:effectLst/>
              <a:latin typeface="+mn-lt"/>
              <a:ea typeface="+mn-ea"/>
              <a:cs typeface="+mn-cs"/>
            </a:rPr>
            <a:t> e, usando as estatísticas </a:t>
          </a:r>
          <a:r>
            <a:rPr lang="pt-BR" sz="1100" i="1">
              <a:solidFill>
                <a:schemeClr val="tx1"/>
              </a:solidFill>
              <a:effectLst/>
              <a:latin typeface="+mn-lt"/>
              <a:ea typeface="+mn-ea"/>
              <a:cs typeface="+mn-cs"/>
            </a:rPr>
            <a:t>z </a:t>
          </a:r>
          <a:r>
            <a:rPr lang="pt-BR" sz="1100">
              <a:solidFill>
                <a:schemeClr val="tx1"/>
              </a:solidFill>
              <a:effectLst/>
              <a:latin typeface="+mn-lt"/>
              <a:ea typeface="+mn-ea"/>
              <a:cs typeface="+mn-cs"/>
            </a:rPr>
            <a:t>e</a:t>
          </a:r>
          <a:r>
            <a:rPr lang="pt-BR" sz="1100" i="1">
              <a:solidFill>
                <a:schemeClr val="tx1"/>
              </a:solidFill>
              <a:effectLst/>
              <a:latin typeface="+mn-lt"/>
              <a:ea typeface="+mn-ea"/>
              <a:cs typeface="+mn-cs"/>
            </a:rPr>
            <a:t> </a:t>
          </a:r>
          <a:r>
            <a:rPr lang="pt-BR" sz="1100" i="1">
              <a:solidFill>
                <a:schemeClr val="tx1"/>
              </a:solidFill>
              <a:effectLst/>
              <a:latin typeface="+mn-lt"/>
              <a:ea typeface="+mn-ea"/>
              <a:cs typeface="+mn-cs"/>
              <a:sym typeface="Symbol" panose="05050102010706020507" pitchFamily="18" charset="2"/>
            </a:rPr>
            <a:t></a:t>
          </a:r>
          <a:r>
            <a:rPr lang="pt-BR" sz="1100" i="1" baseline="30000">
              <a:solidFill>
                <a:schemeClr val="tx1"/>
              </a:solidFill>
              <a:effectLst/>
              <a:latin typeface="+mn-lt"/>
              <a:ea typeface="+mn-ea"/>
              <a:cs typeface="+mn-cs"/>
            </a:rPr>
            <a:t>2</a:t>
          </a:r>
          <a:r>
            <a:rPr lang="pt-BR" sz="1100">
              <a:solidFill>
                <a:schemeClr val="tx1"/>
              </a:solidFill>
              <a:effectLst/>
              <a:latin typeface="+mn-lt"/>
              <a:ea typeface="+mn-ea"/>
              <a:cs typeface="+mn-cs"/>
            </a:rPr>
            <a:t>, faça o teste de hipótese para averiguar se “não existe diferença significativa estatisticamente entre distribuições de probabilidades observadas (</a:t>
          </a:r>
          <a:r>
            <a:rPr lang="pt-BR" sz="1100" i="1">
              <a:solidFill>
                <a:schemeClr val="tx1"/>
              </a:solidFill>
              <a:effectLst/>
              <a:latin typeface="+mn-lt"/>
              <a:ea typeface="+mn-ea"/>
              <a:cs typeface="+mn-cs"/>
            </a:rPr>
            <a:t>p</a:t>
          </a:r>
          <a:r>
            <a:rPr lang="pt-BR" sz="1100" i="1" baseline="-25000">
              <a:solidFill>
                <a:schemeClr val="tx1"/>
              </a:solidFill>
              <a:effectLst/>
              <a:latin typeface="+mn-lt"/>
              <a:ea typeface="+mn-ea"/>
              <a:cs typeface="+mn-cs"/>
            </a:rPr>
            <a:t>o</a:t>
          </a:r>
          <a:r>
            <a:rPr lang="pt-BR" sz="1100">
              <a:solidFill>
                <a:schemeClr val="tx1"/>
              </a:solidFill>
              <a:effectLst/>
              <a:latin typeface="+mn-lt"/>
              <a:ea typeface="+mn-ea"/>
              <a:cs typeface="+mn-cs"/>
            </a:rPr>
            <a:t>) e esperadas (</a:t>
          </a:r>
          <a:r>
            <a:rPr lang="pt-BR" sz="1100" i="1">
              <a:solidFill>
                <a:schemeClr val="tx1"/>
              </a:solidFill>
              <a:effectLst/>
              <a:latin typeface="+mn-lt"/>
              <a:ea typeface="+mn-ea"/>
              <a:cs typeface="+mn-cs"/>
            </a:rPr>
            <a:t>p</a:t>
          </a:r>
          <a:r>
            <a:rPr lang="pt-BR" sz="1100" i="1" baseline="-25000">
              <a:solidFill>
                <a:schemeClr val="tx1"/>
              </a:solidFill>
              <a:effectLst/>
              <a:latin typeface="+mn-lt"/>
              <a:ea typeface="+mn-ea"/>
              <a:cs typeface="+mn-cs"/>
            </a:rPr>
            <a:t>e</a:t>
          </a:r>
          <a:r>
            <a:rPr lang="pt-BR" sz="1100">
              <a:solidFill>
                <a:schemeClr val="tx1"/>
              </a:solidFill>
              <a:effectLst/>
              <a:latin typeface="+mn-lt"/>
              <a:ea typeface="+mn-ea"/>
              <a:cs typeface="+mn-cs"/>
            </a:rPr>
            <a:t>) pela </a:t>
          </a:r>
          <a:r>
            <a:rPr lang="pt-BR" sz="1100" i="1">
              <a:solidFill>
                <a:schemeClr val="tx1"/>
              </a:solidFill>
              <a:effectLst/>
              <a:latin typeface="+mn-lt"/>
              <a:ea typeface="+mn-ea"/>
              <a:cs typeface="+mn-cs"/>
            </a:rPr>
            <a:t>Lei de Newcomb-Benford</a:t>
          </a:r>
          <a:r>
            <a:rPr lang="pt-BR" sz="1100">
              <a:solidFill>
                <a:schemeClr val="tx1"/>
              </a:solidFill>
              <a:effectLst/>
              <a:latin typeface="+mn-lt"/>
              <a:ea typeface="+mn-ea"/>
              <a:cs typeface="+mn-cs"/>
            </a:rPr>
            <a:t>” (ou seja, </a:t>
          </a:r>
          <a:r>
            <a:rPr lang="pt-BR" sz="1100" i="1">
              <a:solidFill>
                <a:schemeClr val="tx1"/>
              </a:solidFill>
              <a:effectLst/>
              <a:latin typeface="+mn-lt"/>
              <a:ea typeface="+mn-ea"/>
              <a:cs typeface="+mn-cs"/>
            </a:rPr>
            <a:t>p</a:t>
          </a:r>
          <a:r>
            <a:rPr lang="pt-BR" sz="1100" i="1" baseline="-25000">
              <a:solidFill>
                <a:schemeClr val="tx1"/>
              </a:solidFill>
              <a:effectLst/>
              <a:latin typeface="+mn-lt"/>
              <a:ea typeface="+mn-ea"/>
              <a:cs typeface="+mn-cs"/>
            </a:rPr>
            <a:t>o</a:t>
          </a:r>
          <a:r>
            <a:rPr lang="pt-BR" sz="1100" i="1">
              <a:solidFill>
                <a:schemeClr val="tx1"/>
              </a:solidFill>
              <a:effectLst/>
              <a:latin typeface="+mn-lt"/>
              <a:ea typeface="+mn-ea"/>
              <a:cs typeface="+mn-cs"/>
            </a:rPr>
            <a:t> = p</a:t>
          </a:r>
          <a:r>
            <a:rPr lang="pt-BR" sz="1100" i="1" baseline="-25000">
              <a:solidFill>
                <a:schemeClr val="tx1"/>
              </a:solidFill>
              <a:effectLst/>
              <a:latin typeface="+mn-lt"/>
              <a:ea typeface="+mn-ea"/>
              <a:cs typeface="+mn-cs"/>
            </a:rPr>
            <a:t>e</a:t>
          </a:r>
          <a:r>
            <a:rPr lang="pt-BR" sz="1100">
              <a:solidFill>
                <a:schemeClr val="tx1"/>
              </a:solidFill>
              <a:effectLst/>
              <a:latin typeface="+mn-lt"/>
              <a:ea typeface="+mn-ea"/>
              <a:cs typeface="+mn-cs"/>
            </a:rPr>
            <a:t>. Neste sentido, não há indícios de fraude). Use um nível de significância de 5%. Neste caso, a análise do teste de hipóteses referente aos dígitos usando a estatísticas </a:t>
          </a:r>
          <a:r>
            <a:rPr lang="pt-BR" sz="1100" i="1">
              <a:solidFill>
                <a:schemeClr val="tx1"/>
              </a:solidFill>
              <a:effectLst/>
              <a:latin typeface="+mn-lt"/>
              <a:ea typeface="+mn-ea"/>
              <a:cs typeface="+mn-cs"/>
            </a:rPr>
            <a:t>z </a:t>
          </a:r>
          <a:r>
            <a:rPr lang="pt-BR" sz="1100">
              <a:solidFill>
                <a:schemeClr val="tx1"/>
              </a:solidFill>
              <a:effectLst/>
              <a:latin typeface="+mn-lt"/>
              <a:ea typeface="+mn-ea"/>
              <a:cs typeface="+mn-cs"/>
            </a:rPr>
            <a:t>deve ser feita separadamente daquela realizada usando a distribuição </a:t>
          </a:r>
          <a:r>
            <a:rPr lang="pt-BR" sz="1100" i="1">
              <a:solidFill>
                <a:schemeClr val="tx1"/>
              </a:solidFill>
              <a:effectLst/>
              <a:latin typeface="+mn-lt"/>
              <a:ea typeface="+mn-ea"/>
              <a:cs typeface="+mn-cs"/>
            </a:rPr>
            <a:t>Qui-Quadrado</a:t>
          </a:r>
          <a:r>
            <a:rPr lang="pt-BR" sz="1100">
              <a:solidFill>
                <a:schemeClr val="tx1"/>
              </a:solidFill>
              <a:effectLst/>
              <a:latin typeface="+mn-lt"/>
              <a:ea typeface="+mn-ea"/>
              <a:cs typeface="+mn-cs"/>
            </a:rPr>
            <a:t> (</a:t>
          </a:r>
          <a:r>
            <a:rPr lang="pt-BR" sz="1100" i="1">
              <a:solidFill>
                <a:schemeClr val="tx1"/>
              </a:solidFill>
              <a:effectLst/>
              <a:latin typeface="+mn-lt"/>
              <a:ea typeface="+mn-ea"/>
              <a:cs typeface="+mn-cs"/>
              <a:sym typeface="Symbol" panose="05050102010706020507" pitchFamily="18" charset="2"/>
            </a:rPr>
            <a:t></a:t>
          </a:r>
          <a:r>
            <a:rPr lang="pt-BR" sz="1100" i="1" baseline="30000">
              <a:solidFill>
                <a:schemeClr val="tx1"/>
              </a:solidFill>
              <a:effectLst/>
              <a:latin typeface="+mn-lt"/>
              <a:ea typeface="+mn-ea"/>
              <a:cs typeface="+mn-cs"/>
            </a:rPr>
            <a:t>2</a:t>
          </a:r>
          <a:r>
            <a:rPr lang="pt-BR" sz="1100">
              <a:solidFill>
                <a:schemeClr val="tx1"/>
              </a:solidFill>
              <a:effectLst/>
              <a:latin typeface="+mn-lt"/>
              <a:ea typeface="+mn-ea"/>
              <a:cs typeface="+mn-cs"/>
            </a:rPr>
            <a:t>).</a:t>
          </a:r>
          <a:endParaRPr lang="pt-BR" sz="1100" baseline="0" smtClean="0">
            <a:solidFill>
              <a:schemeClr val="tx1"/>
            </a:solidFill>
            <a:effectLst/>
            <a:latin typeface="+mn-lt"/>
            <a:ea typeface="+mn-ea"/>
            <a:cs typeface="+mn-cs"/>
          </a:endParaRPr>
        </a:p>
        <a:p>
          <a:r>
            <a:rPr lang="pt-BR" sz="1100" baseline="0" smtClean="0">
              <a:solidFill>
                <a:schemeClr val="tx1"/>
              </a:solidFill>
              <a:latin typeface="+mn-lt"/>
              <a:ea typeface="+mn-ea"/>
              <a:cs typeface="+mn-cs"/>
            </a:rPr>
            <a:t> </a:t>
          </a:r>
          <a:r>
            <a:rPr lang="pt-BR" sz="1100" b="1" i="1" baseline="0" smtClean="0">
              <a:solidFill>
                <a:schemeClr val="tx1"/>
              </a:solidFill>
              <a:latin typeface="+mn-lt"/>
              <a:ea typeface="+mn-ea"/>
              <a:cs typeface="+mn-cs"/>
            </a:rPr>
            <a:t>Resposta: rejeita-se H0</a:t>
          </a:r>
          <a:endParaRPr lang="pt-BR" sz="1100" baseline="0" smtClean="0">
            <a:solidFill>
              <a:schemeClr val="tx1"/>
            </a:solidFill>
            <a:latin typeface="+mn-lt"/>
            <a:ea typeface="+mn-ea"/>
            <a:cs typeface="+mn-cs"/>
          </a:endParaRPr>
        </a:p>
      </xdr:txBody>
    </xdr:sp>
    <xdr:clientData/>
  </xdr:twoCellAnchor>
  <xdr:twoCellAnchor editAs="oneCell">
    <xdr:from>
      <xdr:col>3</xdr:col>
      <xdr:colOff>1532659</xdr:colOff>
      <xdr:row>22</xdr:row>
      <xdr:rowOff>17221</xdr:rowOff>
    </xdr:from>
    <xdr:to>
      <xdr:col>4</xdr:col>
      <xdr:colOff>1870363</xdr:colOff>
      <xdr:row>33</xdr:row>
      <xdr:rowOff>138546</xdr:rowOff>
    </xdr:to>
    <xdr:pic>
      <xdr:nvPicPr>
        <xdr:cNvPr id="6" name="Imagem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83977" y="4242857"/>
          <a:ext cx="2242704" cy="221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2000250</xdr:colOff>
      <xdr:row>22</xdr:row>
      <xdr:rowOff>8660</xdr:rowOff>
    </xdr:from>
    <xdr:to>
      <xdr:col>5</xdr:col>
      <xdr:colOff>1274385</xdr:colOff>
      <xdr:row>34</xdr:row>
      <xdr:rowOff>17319</xdr:rowOff>
    </xdr:to>
    <xdr:pic>
      <xdr:nvPicPr>
        <xdr:cNvPr id="7" name="Imagem 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56568" y="4234296"/>
          <a:ext cx="1776612" cy="22946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1238250</xdr:colOff>
      <xdr:row>34</xdr:row>
      <xdr:rowOff>98692</xdr:rowOff>
    </xdr:from>
    <xdr:to>
      <xdr:col>2</xdr:col>
      <xdr:colOff>796637</xdr:colOff>
      <xdr:row>41</xdr:row>
      <xdr:rowOff>63374</xdr:rowOff>
    </xdr:to>
    <xdr:pic>
      <xdr:nvPicPr>
        <xdr:cNvPr id="9" name="Imagem 8"/>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22864" y="6610328"/>
          <a:ext cx="1636568" cy="12981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342900</xdr:colOff>
          <xdr:row>8</xdr:row>
          <xdr:rowOff>9525</xdr:rowOff>
        </xdr:from>
        <xdr:to>
          <xdr:col>2</xdr:col>
          <xdr:colOff>1743075</xdr:colOff>
          <xdr:row>11</xdr:row>
          <xdr:rowOff>123825</xdr:rowOff>
        </xdr:to>
        <xdr:sp macro="" textlink="">
          <xdr:nvSpPr>
            <xdr:cNvPr id="5121" name="Object 1" hidden="1">
              <a:extLst>
                <a:ext uri="{63B3BB69-23CF-44E3-9099-C40C66FF867C}">
                  <a14:compatExt spid="_x0000_s512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3</xdr:col>
      <xdr:colOff>223345</xdr:colOff>
      <xdr:row>8</xdr:row>
      <xdr:rowOff>44093</xdr:rowOff>
    </xdr:from>
    <xdr:to>
      <xdr:col>6</xdr:col>
      <xdr:colOff>87039</xdr:colOff>
      <xdr:row>12</xdr:row>
      <xdr:rowOff>46608</xdr:rowOff>
    </xdr:to>
    <xdr:pic>
      <xdr:nvPicPr>
        <xdr:cNvPr id="3" name="Imagem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65129" y="1568093"/>
          <a:ext cx="2018315" cy="764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wmf"/></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image" Target="../media/image4.wmf"/></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1.bin"/><Relationship Id="rId5" Type="http://schemas.openxmlformats.org/officeDocument/2006/relationships/image" Target="../media/image6.wmf"/><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image" Target="../media/image9.wmf"/><Relationship Id="rId2" Type="http://schemas.openxmlformats.org/officeDocument/2006/relationships/drawing" Target="../drawings/drawing4.xml"/><Relationship Id="rId1" Type="http://schemas.openxmlformats.org/officeDocument/2006/relationships/printerSettings" Target="../printerSettings/printerSettings2.bin"/><Relationship Id="rId6" Type="http://schemas.openxmlformats.org/officeDocument/2006/relationships/oleObject" Target="../embeddings/oleObject5.bin"/><Relationship Id="rId5" Type="http://schemas.openxmlformats.org/officeDocument/2006/relationships/image" Target="../media/image8.wmf"/><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oleObject" Target="../embeddings/oleObject6.bin"/><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image" Target="../media/image13.w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6"/>
  <sheetViews>
    <sheetView zoomScale="130" zoomScaleNormal="130" workbookViewId="0">
      <selection activeCell="C12" sqref="C12"/>
    </sheetView>
  </sheetViews>
  <sheetFormatPr defaultRowHeight="15" x14ac:dyDescent="0.25"/>
  <cols>
    <col min="1" max="1" width="28.28515625" customWidth="1"/>
    <col min="2" max="2" width="28.5703125" customWidth="1"/>
    <col min="3" max="3" width="29.5703125" customWidth="1"/>
    <col min="4" max="4" width="21.42578125" customWidth="1"/>
    <col min="7" max="7" width="14.28515625" customWidth="1"/>
  </cols>
  <sheetData>
    <row r="1" spans="1:8" ht="18.75" x14ac:dyDescent="0.3">
      <c r="A1" s="5" t="s">
        <v>4</v>
      </c>
      <c r="B1" s="5" t="s">
        <v>5</v>
      </c>
      <c r="C1" s="5" t="s">
        <v>1</v>
      </c>
      <c r="D1" s="1"/>
    </row>
    <row r="2" spans="1:8" x14ac:dyDescent="0.25">
      <c r="A2">
        <v>23</v>
      </c>
      <c r="B2">
        <v>15</v>
      </c>
      <c r="C2">
        <f>(B2-A2)^2/A2</f>
        <v>2.7826086956521738</v>
      </c>
      <c r="D2" s="1"/>
    </row>
    <row r="3" spans="1:8" x14ac:dyDescent="0.25">
      <c r="A3">
        <v>15</v>
      </c>
      <c r="B3">
        <v>15</v>
      </c>
      <c r="C3">
        <f t="shared" ref="C3:C4" si="0">(B3-A3)^2/A3</f>
        <v>0</v>
      </c>
      <c r="D3" s="1"/>
      <c r="G3" s="3"/>
      <c r="H3" s="1"/>
    </row>
    <row r="4" spans="1:8" x14ac:dyDescent="0.25">
      <c r="A4">
        <v>12</v>
      </c>
      <c r="B4">
        <v>20</v>
      </c>
      <c r="C4">
        <f t="shared" si="0"/>
        <v>5.333333333333333</v>
      </c>
      <c r="D4" s="1"/>
      <c r="G4" s="3"/>
      <c r="H4" s="1"/>
    </row>
    <row r="5" spans="1:8" x14ac:dyDescent="0.25">
      <c r="D5" s="1"/>
    </row>
    <row r="6" spans="1:8" x14ac:dyDescent="0.25">
      <c r="B6" s="4" t="s">
        <v>2</v>
      </c>
      <c r="C6">
        <f>SUM(C2:C4)</f>
        <v>8.1159420289855078</v>
      </c>
    </row>
    <row r="8" spans="1:8" ht="15.75" x14ac:dyDescent="0.25">
      <c r="B8" s="4" t="s">
        <v>3</v>
      </c>
      <c r="C8" s="2">
        <f>_xlfn.CHISQ.INV.RT(0.05,3-1)</f>
        <v>5.9914645471079817</v>
      </c>
    </row>
    <row r="9" spans="1:8" ht="15.75" x14ac:dyDescent="0.25">
      <c r="B9" s="4" t="s">
        <v>6</v>
      </c>
      <c r="C9" s="2">
        <f>C6</f>
        <v>8.1159420289855078</v>
      </c>
    </row>
    <row r="11" spans="1:8" x14ac:dyDescent="0.25">
      <c r="B11" s="28" t="s">
        <v>18</v>
      </c>
      <c r="C11" s="6" t="str">
        <f>IF(C9&gt;C8,"REJEITA-SE H0!","ACEITA-SE H0!")</f>
        <v>REJEITA-SE H0!</v>
      </c>
    </row>
    <row r="19" spans="2:4" x14ac:dyDescent="0.25">
      <c r="B19" s="38"/>
      <c r="C19" s="38"/>
      <c r="D19" s="38"/>
    </row>
    <row r="20" spans="2:4" x14ac:dyDescent="0.25">
      <c r="B20" s="38"/>
      <c r="C20" s="38"/>
      <c r="D20" s="38"/>
    </row>
    <row r="21" spans="2:4" x14ac:dyDescent="0.25">
      <c r="B21" s="38"/>
      <c r="C21" s="38"/>
      <c r="D21" s="38"/>
    </row>
    <row r="22" spans="2:4" x14ac:dyDescent="0.25">
      <c r="B22" s="38"/>
      <c r="C22" s="38"/>
      <c r="D22" s="38"/>
    </row>
    <row r="23" spans="2:4" x14ac:dyDescent="0.25">
      <c r="B23" s="38"/>
      <c r="C23" s="38"/>
      <c r="D23" s="38"/>
    </row>
    <row r="24" spans="2:4" x14ac:dyDescent="0.25">
      <c r="B24" s="38"/>
      <c r="C24" s="38"/>
      <c r="D24" s="38"/>
    </row>
    <row r="25" spans="2:4" x14ac:dyDescent="0.25">
      <c r="B25" s="38"/>
      <c r="C25" s="38"/>
      <c r="D25" s="38"/>
    </row>
    <row r="26" spans="2:4" x14ac:dyDescent="0.25">
      <c r="B26" s="38"/>
      <c r="C26" s="38"/>
      <c r="D26" s="38"/>
    </row>
  </sheetData>
  <pageMargins left="0.511811024" right="0.511811024" top="0.78740157499999996" bottom="0.78740157499999996" header="0.31496062000000002" footer="0.31496062000000002"/>
  <drawing r:id="rId1"/>
  <legacyDrawing r:id="rId2"/>
  <oleObjects>
    <mc:AlternateContent xmlns:mc="http://schemas.openxmlformats.org/markup-compatibility/2006">
      <mc:Choice Requires="x14">
        <oleObject progId="Equation.DSMT4" shapeId="1025" r:id="rId3">
          <objectPr defaultSize="0" autoPict="0" r:id="rId4">
            <anchor moveWithCells="1" sizeWithCells="1">
              <from>
                <xdr:col>1</xdr:col>
                <xdr:colOff>123825</xdr:colOff>
                <xdr:row>18</xdr:row>
                <xdr:rowOff>38100</xdr:rowOff>
              </from>
              <to>
                <xdr:col>3</xdr:col>
                <xdr:colOff>381000</xdr:colOff>
                <xdr:row>25</xdr:row>
                <xdr:rowOff>9525</xdr:rowOff>
              </to>
            </anchor>
          </objectPr>
        </oleObject>
      </mc:Choice>
      <mc:Fallback>
        <oleObject progId="Equation.DSMT4" shapeId="1025" r:id="rId3"/>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E26"/>
  <sheetViews>
    <sheetView zoomScale="130" zoomScaleNormal="130" workbookViewId="0">
      <selection activeCell="C13" sqref="C13"/>
    </sheetView>
  </sheetViews>
  <sheetFormatPr defaultRowHeight="15" x14ac:dyDescent="0.25"/>
  <cols>
    <col min="1" max="1" width="24" customWidth="1"/>
    <col min="2" max="2" width="27" customWidth="1"/>
    <col min="3" max="3" width="17" customWidth="1"/>
  </cols>
  <sheetData>
    <row r="2" spans="1:3" ht="18.75" x14ac:dyDescent="0.3">
      <c r="A2" s="5" t="s">
        <v>4</v>
      </c>
      <c r="B2" s="5" t="s">
        <v>5</v>
      </c>
      <c r="C2" s="5" t="s">
        <v>1</v>
      </c>
    </row>
    <row r="3" spans="1:3" x14ac:dyDescent="0.25">
      <c r="A3">
        <v>40</v>
      </c>
      <c r="B3">
        <v>55</v>
      </c>
      <c r="C3">
        <f>(B3-A3)^2/A3</f>
        <v>5.625</v>
      </c>
    </row>
    <row r="4" spans="1:3" x14ac:dyDescent="0.25">
      <c r="A4">
        <v>40</v>
      </c>
      <c r="B4">
        <v>35</v>
      </c>
      <c r="C4">
        <f t="shared" ref="C4:C5" si="0">(B4-A4)^2/A4</f>
        <v>0.625</v>
      </c>
    </row>
    <row r="5" spans="1:3" x14ac:dyDescent="0.25">
      <c r="A5">
        <v>20</v>
      </c>
      <c r="B5">
        <v>10</v>
      </c>
      <c r="C5">
        <f t="shared" si="0"/>
        <v>5</v>
      </c>
    </row>
    <row r="7" spans="1:3" x14ac:dyDescent="0.25">
      <c r="B7" s="4" t="s">
        <v>2</v>
      </c>
      <c r="C7">
        <f>SUM(C3:C5)</f>
        <v>11.25</v>
      </c>
    </row>
    <row r="9" spans="1:3" ht="15.75" x14ac:dyDescent="0.25">
      <c r="B9" s="4" t="s">
        <v>3</v>
      </c>
      <c r="C9" s="2">
        <f>_xlfn.CHISQ.INV.RT(0.01,3-1)</f>
        <v>9.2103403719761818</v>
      </c>
    </row>
    <row r="10" spans="1:3" ht="15.75" x14ac:dyDescent="0.25">
      <c r="B10" s="4" t="s">
        <v>6</v>
      </c>
      <c r="C10" s="2">
        <f>C7</f>
        <v>11.25</v>
      </c>
    </row>
    <row r="12" spans="1:3" x14ac:dyDescent="0.25">
      <c r="B12" s="28" t="s">
        <v>18</v>
      </c>
      <c r="C12" s="6" t="str">
        <f>IF(C7&gt;C9,"REJEITA-SE H0!","ACEITA-SE H0!")</f>
        <v>REJEITA-SE H0!</v>
      </c>
    </row>
    <row r="20" spans="2:5" x14ac:dyDescent="0.25">
      <c r="B20" s="38"/>
      <c r="C20" s="38"/>
      <c r="D20" s="38"/>
      <c r="E20" s="38"/>
    </row>
    <row r="21" spans="2:5" x14ac:dyDescent="0.25">
      <c r="B21" s="38"/>
      <c r="C21" s="38"/>
      <c r="D21" s="38"/>
      <c r="E21" s="38"/>
    </row>
    <row r="22" spans="2:5" x14ac:dyDescent="0.25">
      <c r="B22" s="38"/>
      <c r="C22" s="38"/>
      <c r="D22" s="38"/>
      <c r="E22" s="38"/>
    </row>
    <row r="23" spans="2:5" x14ac:dyDescent="0.25">
      <c r="B23" s="38"/>
      <c r="C23" s="38"/>
      <c r="D23" s="38"/>
      <c r="E23" s="38"/>
    </row>
    <row r="24" spans="2:5" x14ac:dyDescent="0.25">
      <c r="B24" s="38"/>
      <c r="C24" s="38"/>
      <c r="D24" s="38"/>
      <c r="E24" s="38"/>
    </row>
    <row r="25" spans="2:5" x14ac:dyDescent="0.25">
      <c r="B25" s="38"/>
      <c r="C25" s="38"/>
      <c r="D25" s="38"/>
      <c r="E25" s="38"/>
    </row>
    <row r="26" spans="2:5" x14ac:dyDescent="0.25">
      <c r="B26" s="38"/>
      <c r="C26" s="38"/>
      <c r="D26" s="38"/>
      <c r="E26" s="38"/>
    </row>
  </sheetData>
  <pageMargins left="0.511811024" right="0.511811024" top="0.78740157499999996" bottom="0.78740157499999996" header="0.31496062000000002" footer="0.31496062000000002"/>
  <drawing r:id="rId1"/>
  <legacyDrawing r:id="rId2"/>
  <oleObjects>
    <mc:AlternateContent xmlns:mc="http://schemas.openxmlformats.org/markup-compatibility/2006">
      <mc:Choice Requires="x14">
        <oleObject progId="Equation.DSMT4" shapeId="2050" r:id="rId3">
          <objectPr defaultSize="0" autoPict="0" r:id="rId4">
            <anchor moveWithCells="1" sizeWithCells="1">
              <from>
                <xdr:col>1</xdr:col>
                <xdr:colOff>19050</xdr:colOff>
                <xdr:row>18</xdr:row>
                <xdr:rowOff>85725</xdr:rowOff>
              </from>
              <to>
                <xdr:col>5</xdr:col>
                <xdr:colOff>9525</xdr:colOff>
                <xdr:row>25</xdr:row>
                <xdr:rowOff>57150</xdr:rowOff>
              </to>
            </anchor>
          </objectPr>
        </oleObject>
      </mc:Choice>
      <mc:Fallback>
        <oleObject progId="Equation.DSMT4" shapeId="2050" r:id="rId3"/>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L18"/>
  <sheetViews>
    <sheetView topLeftCell="C1" zoomScale="150" zoomScaleNormal="150" workbookViewId="0">
      <selection activeCell="I4" sqref="I4:K6"/>
    </sheetView>
  </sheetViews>
  <sheetFormatPr defaultRowHeight="15" x14ac:dyDescent="0.25"/>
  <cols>
    <col min="7" max="7" width="9.140625" style="16"/>
    <col min="9" max="9" width="12.5703125" customWidth="1"/>
    <col min="10" max="10" width="13.42578125" customWidth="1"/>
    <col min="11" max="11" width="22.5703125" customWidth="1"/>
    <col min="12" max="12" width="15.7109375" customWidth="1"/>
  </cols>
  <sheetData>
    <row r="3" spans="1:12" ht="15.75" thickBot="1" x14ac:dyDescent="0.3">
      <c r="E3" s="6" t="s">
        <v>0</v>
      </c>
      <c r="F3" s="6"/>
      <c r="L3" s="6"/>
    </row>
    <row r="4" spans="1:12" x14ac:dyDescent="0.25">
      <c r="B4" s="7">
        <v>120</v>
      </c>
      <c r="C4" s="8">
        <v>20</v>
      </c>
      <c r="D4" s="9">
        <v>20</v>
      </c>
      <c r="E4" s="1">
        <f>SUM(B4:D4)</f>
        <v>160</v>
      </c>
      <c r="F4" s="1"/>
      <c r="I4" s="7">
        <f>E4*$B$7/$E$7</f>
        <v>88</v>
      </c>
      <c r="J4" s="8">
        <f>E4*$C$7/$E$7</f>
        <v>24</v>
      </c>
      <c r="K4" s="9">
        <f>E4*$D$7/$E$7</f>
        <v>48</v>
      </c>
      <c r="L4" s="1"/>
    </row>
    <row r="5" spans="1:12" x14ac:dyDescent="0.25">
      <c r="B5" s="10">
        <v>50</v>
      </c>
      <c r="C5" s="11">
        <v>30</v>
      </c>
      <c r="D5" s="12">
        <v>60</v>
      </c>
      <c r="E5" s="1">
        <f t="shared" ref="E5:E6" si="0">SUM(B5:D5)</f>
        <v>140</v>
      </c>
      <c r="F5" s="1"/>
      <c r="I5" s="10">
        <f t="shared" ref="I5:I6" si="1">E5*$B$7/$E$7</f>
        <v>77</v>
      </c>
      <c r="J5" s="11">
        <f t="shared" ref="J5:J6" si="2">E5*$C$7/$E$7</f>
        <v>21</v>
      </c>
      <c r="K5" s="12">
        <f t="shared" ref="K5:K6" si="3">E5*$D$7/$E$7</f>
        <v>42</v>
      </c>
      <c r="L5" s="1"/>
    </row>
    <row r="6" spans="1:12" ht="15.75" thickBot="1" x14ac:dyDescent="0.3">
      <c r="B6" s="13">
        <v>50</v>
      </c>
      <c r="C6" s="14">
        <v>10</v>
      </c>
      <c r="D6" s="15">
        <v>40</v>
      </c>
      <c r="E6" s="1">
        <f t="shared" si="0"/>
        <v>100</v>
      </c>
      <c r="F6" s="1"/>
      <c r="I6" s="13">
        <f t="shared" si="1"/>
        <v>55</v>
      </c>
      <c r="J6" s="14">
        <f t="shared" si="2"/>
        <v>15</v>
      </c>
      <c r="K6" s="15">
        <f t="shared" si="3"/>
        <v>30</v>
      </c>
      <c r="L6" s="1"/>
    </row>
    <row r="7" spans="1:12" x14ac:dyDescent="0.25">
      <c r="A7" s="6" t="s">
        <v>0</v>
      </c>
      <c r="B7" s="1">
        <f>SUM(B4:B6)</f>
        <v>220</v>
      </c>
      <c r="C7" s="1">
        <f t="shared" ref="C7" si="4">SUM(C4:C6)</f>
        <v>60</v>
      </c>
      <c r="D7" s="1">
        <f t="shared" ref="D7" si="5">SUM(D4:D6)</f>
        <v>120</v>
      </c>
      <c r="E7" s="1">
        <f t="shared" ref="E7" si="6">SUM(E4:E6)</f>
        <v>400</v>
      </c>
      <c r="F7" s="1"/>
      <c r="H7" s="6"/>
      <c r="I7" s="1"/>
      <c r="J7" s="1"/>
      <c r="K7" s="1"/>
      <c r="L7" s="1"/>
    </row>
    <row r="9" spans="1:12" x14ac:dyDescent="0.25">
      <c r="J9" s="4"/>
    </row>
    <row r="10" spans="1:12" ht="15.75" x14ac:dyDescent="0.25">
      <c r="K10" s="4" t="s">
        <v>3</v>
      </c>
      <c r="L10" s="2">
        <f>CHIINV(0.01,4)</f>
        <v>13.276704135987623</v>
      </c>
    </row>
    <row r="11" spans="1:12" ht="15.75" x14ac:dyDescent="0.25">
      <c r="J11" s="4"/>
      <c r="K11" s="4" t="s">
        <v>6</v>
      </c>
      <c r="L11" s="2">
        <f>SUM(I18:K18)</f>
        <v>55.129870129870127</v>
      </c>
    </row>
    <row r="12" spans="1:12" ht="15.75" x14ac:dyDescent="0.25">
      <c r="J12" s="4"/>
      <c r="K12" s="39" t="s">
        <v>25</v>
      </c>
      <c r="L12" s="40" t="str">
        <f>IF(L11&gt;L10,"REJEITA-SE H0!","ACEITA-SE H0!")</f>
        <v>REJEITA-SE H0!</v>
      </c>
    </row>
    <row r="13" spans="1:12" ht="18.75" x14ac:dyDescent="0.3">
      <c r="I13" s="5"/>
      <c r="J13" s="4"/>
    </row>
    <row r="14" spans="1:12" ht="19.5" thickBot="1" x14ac:dyDescent="0.35">
      <c r="I14" s="5"/>
      <c r="J14" s="4"/>
    </row>
    <row r="15" spans="1:12" x14ac:dyDescent="0.25">
      <c r="I15" s="17">
        <f>(B4-I4)^2/I4</f>
        <v>11.636363636363637</v>
      </c>
      <c r="J15" s="18">
        <f t="shared" ref="J15:K15" si="7">(C4-J4)^2/J4</f>
        <v>0.66666666666666663</v>
      </c>
      <c r="K15" s="19">
        <f t="shared" si="7"/>
        <v>16.333333333333332</v>
      </c>
    </row>
    <row r="16" spans="1:12" x14ac:dyDescent="0.25">
      <c r="I16" s="20">
        <f>(B5-I5)^2/I5</f>
        <v>9.4675324675324681</v>
      </c>
      <c r="J16" s="11">
        <f>(C5-J5)^2/J5</f>
        <v>3.8571428571428572</v>
      </c>
      <c r="K16" s="21">
        <f>(D5-K5)^2/K5</f>
        <v>7.7142857142857144</v>
      </c>
    </row>
    <row r="17" spans="8:11" ht="15.75" thickBot="1" x14ac:dyDescent="0.3">
      <c r="I17" s="22">
        <f>(B6-I6)^2/I6</f>
        <v>0.45454545454545453</v>
      </c>
      <c r="J17" s="23">
        <f>(C6-J6)^2/J6</f>
        <v>1.6666666666666667</v>
      </c>
      <c r="K17" s="24">
        <f>(D6-K6)^2/K6</f>
        <v>3.3333333333333335</v>
      </c>
    </row>
    <row r="18" spans="8:11" x14ac:dyDescent="0.25">
      <c r="H18" s="6" t="s">
        <v>2</v>
      </c>
      <c r="I18" s="1">
        <f>SUM(I15:I17)</f>
        <v>21.558441558441558</v>
      </c>
      <c r="J18" s="1">
        <f t="shared" ref="J18:K18" si="8">SUM(J15:J17)</f>
        <v>6.1904761904761907</v>
      </c>
      <c r="K18" s="1">
        <f t="shared" si="8"/>
        <v>27.38095238095238</v>
      </c>
    </row>
  </sheetData>
  <pageMargins left="0.511811024" right="0.511811024" top="0.78740157499999996" bottom="0.78740157499999996" header="0.31496062000000002" footer="0.31496062000000002"/>
  <pageSetup paperSize="9" orientation="portrait" horizontalDpi="1200" verticalDpi="1200" r:id="rId1"/>
  <drawing r:id="rId2"/>
  <legacyDrawing r:id="rId3"/>
  <oleObjects>
    <mc:AlternateContent xmlns:mc="http://schemas.openxmlformats.org/markup-compatibility/2006">
      <mc:Choice Requires="x14">
        <oleObject progId="Equation.DSMT4" shapeId="3075" r:id="rId4">
          <objectPr defaultSize="0" autoPict="0" r:id="rId5">
            <anchor moveWithCells="1" sizeWithCells="1">
              <from>
                <xdr:col>9</xdr:col>
                <xdr:colOff>409575</xdr:colOff>
                <xdr:row>11</xdr:row>
                <xdr:rowOff>142875</xdr:rowOff>
              </from>
              <to>
                <xdr:col>10</xdr:col>
                <xdr:colOff>161925</xdr:colOff>
                <xdr:row>13</xdr:row>
                <xdr:rowOff>200025</xdr:rowOff>
              </to>
            </anchor>
          </objectPr>
        </oleObject>
      </mc:Choice>
      <mc:Fallback>
        <oleObject progId="Equation.DSMT4" shapeId="3075"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5"/>
  <sheetViews>
    <sheetView tabSelected="1" topLeftCell="D3" zoomScale="170" zoomScaleNormal="170" workbookViewId="0">
      <selection activeCell="F22" sqref="F22"/>
    </sheetView>
  </sheetViews>
  <sheetFormatPr defaultRowHeight="15" x14ac:dyDescent="0.25"/>
  <cols>
    <col min="1" max="1" width="23.7109375" style="25" customWidth="1"/>
    <col min="2" max="2" width="31.140625" style="25" customWidth="1"/>
    <col min="3" max="3" width="25.28515625" customWidth="1"/>
    <col min="4" max="4" width="28.5703125" customWidth="1"/>
    <col min="5" max="5" width="37.5703125" customWidth="1"/>
    <col min="6" max="6" width="26.28515625" customWidth="1"/>
    <col min="7" max="7" width="24.5703125" customWidth="1"/>
  </cols>
  <sheetData>
    <row r="1" spans="1:7" x14ac:dyDescent="0.25">
      <c r="F1" s="33"/>
      <c r="G1" s="34"/>
    </row>
    <row r="2" spans="1:7" x14ac:dyDescent="0.25">
      <c r="F2" s="33"/>
      <c r="G2" s="34"/>
    </row>
    <row r="3" spans="1:7" x14ac:dyDescent="0.25">
      <c r="F3" s="33"/>
      <c r="G3" s="34"/>
    </row>
    <row r="4" spans="1:7" x14ac:dyDescent="0.25">
      <c r="F4" s="33"/>
      <c r="G4" s="34"/>
    </row>
    <row r="5" spans="1:7" x14ac:dyDescent="0.25">
      <c r="F5" s="33"/>
      <c r="G5" s="34"/>
    </row>
    <row r="6" spans="1:7" ht="15.75" x14ac:dyDescent="0.25">
      <c r="A6" s="26" t="s">
        <v>7</v>
      </c>
      <c r="B6" s="26" t="s">
        <v>8</v>
      </c>
      <c r="C6" s="26" t="s">
        <v>9</v>
      </c>
      <c r="D6" s="26" t="s">
        <v>10</v>
      </c>
      <c r="E6" s="26" t="s">
        <v>11</v>
      </c>
      <c r="F6" s="26" t="s">
        <v>13</v>
      </c>
      <c r="G6" s="26" t="s">
        <v>16</v>
      </c>
    </row>
    <row r="7" spans="1:7" x14ac:dyDescent="0.25">
      <c r="A7" s="25">
        <v>1</v>
      </c>
      <c r="B7" s="25">
        <f>LOG10(1+1/A7)</f>
        <v>0.3010299956639812</v>
      </c>
      <c r="C7" s="25">
        <v>148</v>
      </c>
      <c r="D7">
        <f>C7/500</f>
        <v>0.29599999999999999</v>
      </c>
      <c r="E7">
        <f>ABS(D7-B7)/SQRT(B7*(1-B7)/500)</f>
        <v>0.24519886597811835</v>
      </c>
      <c r="F7" s="35" t="str">
        <f>IF(E7&lt;$F$17,"OK!","DISCREPÂNCIA!")</f>
        <v>OK!</v>
      </c>
      <c r="G7">
        <f>500*(D7-B7)^2/B7</f>
        <v>4.2023812816167634E-2</v>
      </c>
    </row>
    <row r="8" spans="1:7" x14ac:dyDescent="0.25">
      <c r="A8" s="25">
        <v>2</v>
      </c>
      <c r="B8" s="25">
        <f t="shared" ref="B8:B15" si="0">LOG10(1+1/A8)</f>
        <v>0.17609125905568124</v>
      </c>
      <c r="C8" s="25">
        <v>75</v>
      </c>
      <c r="D8">
        <f t="shared" ref="D8:D15" si="1">C8/500</f>
        <v>0.15</v>
      </c>
      <c r="E8">
        <f t="shared" ref="E8:E16" si="2">ABS(D8-B8)/SQRT(B8*(1-B8)/500)</f>
        <v>1.5316924953353026</v>
      </c>
      <c r="F8" s="35" t="str">
        <f t="shared" ref="F8:F16" si="3">IF(E8&lt;$F$17,"OK!","DISCREPÂNCIA!")</f>
        <v>OK!</v>
      </c>
      <c r="G8">
        <f t="shared" ref="G8:G15" si="4">500*(D8-B8)^2/B8</f>
        <v>1.9329573846008152</v>
      </c>
    </row>
    <row r="9" spans="1:7" x14ac:dyDescent="0.25">
      <c r="A9" s="25">
        <v>3</v>
      </c>
      <c r="B9" s="25">
        <f t="shared" si="0"/>
        <v>0.12493873660829993</v>
      </c>
      <c r="C9" s="25">
        <v>55</v>
      </c>
      <c r="D9">
        <f t="shared" si="1"/>
        <v>0.11</v>
      </c>
      <c r="E9">
        <f t="shared" si="2"/>
        <v>1.0102551839834109</v>
      </c>
      <c r="F9" s="35" t="str">
        <f t="shared" si="3"/>
        <v>OK!</v>
      </c>
      <c r="G9">
        <f t="shared" si="4"/>
        <v>0.89310112103909012</v>
      </c>
    </row>
    <row r="10" spans="1:7" x14ac:dyDescent="0.25">
      <c r="A10" s="25">
        <v>4</v>
      </c>
      <c r="B10" s="25">
        <f t="shared" si="0"/>
        <v>9.691001300805642E-2</v>
      </c>
      <c r="C10" s="25">
        <v>50</v>
      </c>
      <c r="D10">
        <f t="shared" si="1"/>
        <v>0.1</v>
      </c>
      <c r="E10">
        <f t="shared" si="2"/>
        <v>0.23355642225116632</v>
      </c>
      <c r="F10" s="35" t="str">
        <f t="shared" si="3"/>
        <v>OK!</v>
      </c>
      <c r="G10">
        <f t="shared" si="4"/>
        <v>4.9262296609055317E-2</v>
      </c>
    </row>
    <row r="11" spans="1:7" x14ac:dyDescent="0.25">
      <c r="A11" s="25">
        <v>5</v>
      </c>
      <c r="B11" s="25">
        <f t="shared" si="0"/>
        <v>7.9181246047624818E-2</v>
      </c>
      <c r="C11" s="25">
        <v>45</v>
      </c>
      <c r="D11">
        <f t="shared" si="1"/>
        <v>0.09</v>
      </c>
      <c r="E11">
        <f t="shared" si="2"/>
        <v>0.8959092121586103</v>
      </c>
      <c r="F11" s="35" t="str">
        <f t="shared" si="3"/>
        <v>OK!</v>
      </c>
      <c r="G11">
        <f t="shared" si="4"/>
        <v>0.73909822669142344</v>
      </c>
    </row>
    <row r="12" spans="1:7" x14ac:dyDescent="0.25">
      <c r="A12" s="25">
        <v>6</v>
      </c>
      <c r="B12" s="25">
        <f t="shared" si="0"/>
        <v>6.6946789630613221E-2</v>
      </c>
      <c r="C12" s="25">
        <v>40</v>
      </c>
      <c r="D12">
        <f t="shared" si="1"/>
        <v>0.08</v>
      </c>
      <c r="E12">
        <f t="shared" si="2"/>
        <v>1.1678424458690779</v>
      </c>
      <c r="F12" s="35" t="str">
        <f t="shared" si="3"/>
        <v>OK!</v>
      </c>
      <c r="G12">
        <f t="shared" si="4"/>
        <v>1.2725501991028472</v>
      </c>
    </row>
    <row r="13" spans="1:7" x14ac:dyDescent="0.25">
      <c r="A13" s="25">
        <v>7</v>
      </c>
      <c r="B13" s="25">
        <f t="shared" si="0"/>
        <v>5.7991946977686733E-2</v>
      </c>
      <c r="C13" s="25">
        <v>34</v>
      </c>
      <c r="D13">
        <f t="shared" si="1"/>
        <v>6.8000000000000005E-2</v>
      </c>
      <c r="E13">
        <f t="shared" si="2"/>
        <v>0.95746619006255329</v>
      </c>
      <c r="F13" s="35" t="str">
        <f t="shared" si="3"/>
        <v>OK!</v>
      </c>
      <c r="G13">
        <f t="shared" si="4"/>
        <v>0.86357788035614946</v>
      </c>
    </row>
    <row r="14" spans="1:7" x14ac:dyDescent="0.25">
      <c r="A14" s="25">
        <v>8</v>
      </c>
      <c r="B14" s="25">
        <f t="shared" si="0"/>
        <v>5.1152522447381291E-2</v>
      </c>
      <c r="C14" s="25">
        <v>28</v>
      </c>
      <c r="D14">
        <f t="shared" si="1"/>
        <v>5.6000000000000001E-2</v>
      </c>
      <c r="E14">
        <f t="shared" si="2"/>
        <v>0.49200450323809275</v>
      </c>
      <c r="F14" s="35" t="str">
        <f t="shared" si="3"/>
        <v>OK!</v>
      </c>
      <c r="G14">
        <f t="shared" si="4"/>
        <v>0.22968602034546631</v>
      </c>
    </row>
    <row r="15" spans="1:7" x14ac:dyDescent="0.25">
      <c r="A15" s="25">
        <v>9</v>
      </c>
      <c r="B15" s="25">
        <f t="shared" si="0"/>
        <v>4.5757490560675143E-2</v>
      </c>
      <c r="C15" s="25">
        <v>25</v>
      </c>
      <c r="D15">
        <f t="shared" si="1"/>
        <v>0.05</v>
      </c>
      <c r="E15">
        <f t="shared" si="2"/>
        <v>0.45399110125743714</v>
      </c>
      <c r="F15" s="35" t="str">
        <f t="shared" si="3"/>
        <v>OK!</v>
      </c>
      <c r="G15">
        <f t="shared" si="4"/>
        <v>0.19667693881610193</v>
      </c>
    </row>
    <row r="16" spans="1:7" x14ac:dyDescent="0.25">
      <c r="A16" s="6" t="s">
        <v>0</v>
      </c>
      <c r="B16" s="6">
        <f>SUM(B7:B15)</f>
        <v>1</v>
      </c>
      <c r="C16" s="6">
        <f>SUM(C7:C15)</f>
        <v>500</v>
      </c>
      <c r="D16" s="6">
        <f>SUM(D7:D15)</f>
        <v>1</v>
      </c>
      <c r="E16" s="16" t="e">
        <f t="shared" si="2"/>
        <v>#DIV/0!</v>
      </c>
      <c r="F16" s="16" t="e">
        <f t="shared" si="3"/>
        <v>#DIV/0!</v>
      </c>
      <c r="G16" s="32">
        <f>SUM(G7:G15)</f>
        <v>6.2189338803771168</v>
      </c>
    </row>
    <row r="17" spans="4:6" ht="15.75" x14ac:dyDescent="0.25">
      <c r="E17" s="2" t="s">
        <v>12</v>
      </c>
      <c r="F17" s="36">
        <f>_xlfn.NORM.S.INV(0.95)</f>
        <v>1.6448536269514715</v>
      </c>
    </row>
    <row r="18" spans="4:6" x14ac:dyDescent="0.25">
      <c r="E18" s="1" t="s">
        <v>15</v>
      </c>
      <c r="F18" s="36">
        <f>_xlfn.CHISQ.INV.RT(0.05,9-1)</f>
        <v>15.507313055865453</v>
      </c>
    </row>
    <row r="20" spans="4:6" ht="15.75" x14ac:dyDescent="0.25">
      <c r="E20" s="27" t="s">
        <v>14</v>
      </c>
      <c r="F20" s="37">
        <f>G16</f>
        <v>6.2189338803771168</v>
      </c>
    </row>
    <row r="21" spans="4:6" ht="15.75" x14ac:dyDescent="0.25">
      <c r="E21" s="27" t="s">
        <v>17</v>
      </c>
      <c r="F21" s="35" t="str">
        <f>IF(F20&lt;F18,"NÃO HÁ INDÍCIOS DE FRAUDE","HÁ INDÍCIOS DE FRAUDE")</f>
        <v>NÃO HÁ INDÍCIOS DE FRAUDE</v>
      </c>
    </row>
    <row r="22" spans="4:6" x14ac:dyDescent="0.25">
      <c r="E22" t="s">
        <v>24</v>
      </c>
      <c r="F22" s="32" t="str">
        <f>IF(F20&lt;F18,"Aceita-se H0!","Rejeita-se H0!")</f>
        <v>Aceita-se H0!</v>
      </c>
    </row>
    <row r="23" spans="4:6" x14ac:dyDescent="0.25">
      <c r="D23" s="38"/>
      <c r="E23" s="38"/>
      <c r="F23" s="38"/>
    </row>
    <row r="24" spans="4:6" x14ac:dyDescent="0.25">
      <c r="D24" s="38"/>
      <c r="E24" s="38"/>
      <c r="F24" s="38"/>
    </row>
    <row r="25" spans="4:6" x14ac:dyDescent="0.25">
      <c r="D25" s="38"/>
      <c r="E25" s="38"/>
      <c r="F25" s="38"/>
    </row>
    <row r="26" spans="4:6" x14ac:dyDescent="0.25">
      <c r="D26" s="38"/>
      <c r="E26" s="38"/>
      <c r="F26" s="38"/>
    </row>
    <row r="27" spans="4:6" x14ac:dyDescent="0.25">
      <c r="D27" s="38"/>
      <c r="E27" s="38"/>
      <c r="F27" s="38"/>
    </row>
    <row r="28" spans="4:6" x14ac:dyDescent="0.25">
      <c r="D28" s="38"/>
      <c r="E28" s="38"/>
      <c r="F28" s="38"/>
    </row>
    <row r="29" spans="4:6" x14ac:dyDescent="0.25">
      <c r="D29" s="38"/>
      <c r="E29" s="38"/>
      <c r="F29" s="38"/>
    </row>
    <row r="30" spans="4:6" x14ac:dyDescent="0.25">
      <c r="D30" s="38"/>
      <c r="E30" s="38"/>
      <c r="F30" s="38"/>
    </row>
    <row r="31" spans="4:6" x14ac:dyDescent="0.25">
      <c r="D31" s="38"/>
      <c r="E31" s="38"/>
      <c r="F31" s="38"/>
    </row>
    <row r="32" spans="4:6" x14ac:dyDescent="0.25">
      <c r="D32" s="38"/>
      <c r="E32" s="38"/>
      <c r="F32" s="38"/>
    </row>
    <row r="33" spans="4:6" x14ac:dyDescent="0.25">
      <c r="D33" s="38"/>
      <c r="E33" s="38"/>
      <c r="F33" s="38"/>
    </row>
    <row r="34" spans="4:6" x14ac:dyDescent="0.25">
      <c r="D34" s="38"/>
      <c r="E34" s="38"/>
      <c r="F34" s="38"/>
    </row>
    <row r="35" spans="4:6" x14ac:dyDescent="0.25">
      <c r="D35" s="38"/>
      <c r="E35" s="38"/>
      <c r="F35" s="38"/>
    </row>
  </sheetData>
  <pageMargins left="0.511811024" right="0.511811024" top="0.78740157499999996" bottom="0.78740157499999996" header="0.31496062000000002" footer="0.31496062000000002"/>
  <pageSetup paperSize="9" orientation="portrait" horizontalDpi="1200" verticalDpi="1200" r:id="rId1"/>
  <drawing r:id="rId2"/>
  <legacyDrawing r:id="rId3"/>
  <oleObjects>
    <mc:AlternateContent xmlns:mc="http://schemas.openxmlformats.org/markup-compatibility/2006">
      <mc:Choice Requires="x14">
        <oleObject progId="Equation.DSMT4" shapeId="6145" r:id="rId4">
          <objectPr defaultSize="0" autoPict="0" r:id="rId5">
            <anchor moveWithCells="1" sizeWithCells="1">
              <from>
                <xdr:col>5</xdr:col>
                <xdr:colOff>0</xdr:colOff>
                <xdr:row>0</xdr:row>
                <xdr:rowOff>66675</xdr:rowOff>
              </from>
              <to>
                <xdr:col>5</xdr:col>
                <xdr:colOff>1438275</xdr:colOff>
                <xdr:row>4</xdr:row>
                <xdr:rowOff>85725</xdr:rowOff>
              </to>
            </anchor>
          </objectPr>
        </oleObject>
      </mc:Choice>
      <mc:Fallback>
        <oleObject progId="Equation.DSMT4" shapeId="6145" r:id="rId4"/>
      </mc:Fallback>
    </mc:AlternateContent>
    <mc:AlternateContent xmlns:mc="http://schemas.openxmlformats.org/markup-compatibility/2006">
      <mc:Choice Requires="x14">
        <oleObject progId="Equation.DSMT4" shapeId="6146" r:id="rId6">
          <objectPr defaultSize="0" autoPict="0" r:id="rId7">
            <anchor moveWithCells="1" sizeWithCells="1">
              <from>
                <xdr:col>6</xdr:col>
                <xdr:colOff>28575</xdr:colOff>
                <xdr:row>0</xdr:row>
                <xdr:rowOff>152400</xdr:rowOff>
              </from>
              <to>
                <xdr:col>6</xdr:col>
                <xdr:colOff>1628775</xdr:colOff>
                <xdr:row>3</xdr:row>
                <xdr:rowOff>104775</xdr:rowOff>
              </to>
            </anchor>
          </objectPr>
        </oleObject>
      </mc:Choice>
      <mc:Fallback>
        <oleObject progId="Equation.DSMT4" shapeId="6146" r:id="rId6"/>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2"/>
  <sheetViews>
    <sheetView zoomScale="140" zoomScaleNormal="140" workbookViewId="0">
      <selection activeCell="D8" sqref="D8"/>
    </sheetView>
  </sheetViews>
  <sheetFormatPr defaultRowHeight="15" x14ac:dyDescent="0.25"/>
  <cols>
    <col min="1" max="1" width="10.7109375" customWidth="1"/>
    <col min="3" max="3" width="28.7109375" bestFit="1" customWidth="1"/>
    <col min="4" max="4" width="14" bestFit="1" customWidth="1"/>
  </cols>
  <sheetData>
    <row r="1" spans="1:4" x14ac:dyDescent="0.25">
      <c r="A1" s="30">
        <v>1033</v>
      </c>
      <c r="C1" s="1" t="s">
        <v>19</v>
      </c>
      <c r="D1" s="30">
        <f>AVERAGE(A1:A10)</f>
        <v>1129.5999999999999</v>
      </c>
    </row>
    <row r="2" spans="1:4" x14ac:dyDescent="0.25">
      <c r="A2" s="30">
        <v>1274</v>
      </c>
      <c r="C2" s="1" t="s">
        <v>20</v>
      </c>
      <c r="D2" s="30">
        <f>_xlfn.STDEV.S(A1:A10)</f>
        <v>158.01561104312881</v>
      </c>
    </row>
    <row r="3" spans="1:4" x14ac:dyDescent="0.25">
      <c r="A3" s="30">
        <v>1114</v>
      </c>
      <c r="C3" s="1" t="s">
        <v>21</v>
      </c>
      <c r="D3" s="30">
        <f>D2/SQRT(10)</f>
        <v>49.968923675954208</v>
      </c>
    </row>
    <row r="4" spans="1:4" x14ac:dyDescent="0.25">
      <c r="A4" s="30">
        <v>924</v>
      </c>
      <c r="C4" s="1"/>
    </row>
    <row r="5" spans="1:4" x14ac:dyDescent="0.25">
      <c r="A5" s="30">
        <v>1421</v>
      </c>
      <c r="C5" s="1" t="s">
        <v>22</v>
      </c>
      <c r="D5">
        <f>(D1-1000)/D3</f>
        <v>2.5936119985383108</v>
      </c>
    </row>
    <row r="6" spans="1:4" x14ac:dyDescent="0.25">
      <c r="A6" s="30">
        <v>1069</v>
      </c>
      <c r="C6" s="1" t="s">
        <v>23</v>
      </c>
      <c r="D6">
        <f>_xlfn.T.INV.2T(0.05,10-1)</f>
        <v>2.2621571627982053</v>
      </c>
    </row>
    <row r="7" spans="1:4" x14ac:dyDescent="0.25">
      <c r="A7" s="30">
        <v>1121</v>
      </c>
      <c r="C7" s="32" t="s">
        <v>18</v>
      </c>
      <c r="D7" s="32" t="str">
        <f>IF(D5&gt;-D6,IF(D5&lt;D6,"ACEITA-SE H0!","REJEITA-SE H0!"),"REJEITA-SE H0!")</f>
        <v>REJEITA-SE H0!</v>
      </c>
    </row>
    <row r="8" spans="1:4" x14ac:dyDescent="0.25">
      <c r="A8" s="30">
        <v>1269</v>
      </c>
    </row>
    <row r="9" spans="1:4" x14ac:dyDescent="0.25">
      <c r="A9" s="30">
        <v>1150</v>
      </c>
      <c r="C9" s="31"/>
    </row>
    <row r="10" spans="1:4" x14ac:dyDescent="0.25">
      <c r="A10" s="30">
        <v>921</v>
      </c>
      <c r="C10" s="31"/>
    </row>
    <row r="11" spans="1:4" x14ac:dyDescent="0.25">
      <c r="A11" s="29"/>
      <c r="C11" s="31"/>
    </row>
    <row r="12" spans="1:4" x14ac:dyDescent="0.25">
      <c r="C12" s="31"/>
    </row>
  </sheetData>
  <pageMargins left="0.511811024" right="0.511811024" top="0.78740157499999996" bottom="0.78740157499999996" header="0.31496062000000002" footer="0.31496062000000002"/>
  <drawing r:id="rId1"/>
  <legacyDrawing r:id="rId2"/>
  <oleObjects>
    <mc:AlternateContent xmlns:mc="http://schemas.openxmlformats.org/markup-compatibility/2006">
      <mc:Choice Requires="x14">
        <oleObject progId="Equation.DSMT4" shapeId="5121" r:id="rId3">
          <objectPr defaultSize="0" autoPict="0" r:id="rId4">
            <anchor moveWithCells="1" sizeWithCells="1">
              <from>
                <xdr:col>2</xdr:col>
                <xdr:colOff>342900</xdr:colOff>
                <xdr:row>8</xdr:row>
                <xdr:rowOff>9525</xdr:rowOff>
              </from>
              <to>
                <xdr:col>2</xdr:col>
                <xdr:colOff>1743075</xdr:colOff>
                <xdr:row>11</xdr:row>
                <xdr:rowOff>123825</xdr:rowOff>
              </to>
            </anchor>
          </objectPr>
        </oleObject>
      </mc:Choice>
      <mc:Fallback>
        <oleObject progId="Equation.DSMT4" shapeId="5121"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Teste de Qualidade de Ajuste 1</vt:lpstr>
      <vt:lpstr>Teste de Qualidade de Ajuste 2</vt:lpstr>
      <vt:lpstr>Teste da Independência</vt:lpstr>
      <vt:lpstr>LEI DE NEWCOMB-BENFORD</vt:lpstr>
      <vt:lpstr>Teste t-Student</vt:lpstr>
    </vt:vector>
  </TitlesOfParts>
  <Company>Particular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Cleber Pinheiro</dc:creator>
  <cp:lastModifiedBy>CLEBERPINHEIRO</cp:lastModifiedBy>
  <dcterms:created xsi:type="dcterms:W3CDTF">2012-05-14T19:57:19Z</dcterms:created>
  <dcterms:modified xsi:type="dcterms:W3CDTF">2021-06-14T12:36:16Z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256ac3f9-eb8e-48f1-8eeb-7aa86775e2aa</vt:lpwstr>
  </property>
</Properties>
</file>