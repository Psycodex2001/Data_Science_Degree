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Meus documentos\Faculdades e Colégio\Exercicios\UniCEUB\Faculdade\Curso Administração\Estatística e Métodos Quantitativos\EXCEL\"/>
    </mc:Choice>
  </mc:AlternateContent>
  <bookViews>
    <workbookView xWindow="120" yWindow="90" windowWidth="18960" windowHeight="7755" activeTab="2"/>
  </bookViews>
  <sheets>
    <sheet name="Pesquisa Qualitativa" sheetId="5" r:id="rId1"/>
    <sheet name="Histograma - Ogiva" sheetId="1" r:id="rId2"/>
    <sheet name="Precificação" sheetId="4" r:id="rId3"/>
    <sheet name="Medidas de Dispersão" sheetId="2" r:id="rId4"/>
    <sheet name="Alfa de Cronbach" sheetId="3" r:id="rId5"/>
  </sheets>
  <calcPr calcId="152511"/>
  <pivotCaches>
    <pivotCache cacheId="0" r:id="rId6"/>
  </pivotCaches>
</workbook>
</file>

<file path=xl/calcChain.xml><?xml version="1.0" encoding="utf-8"?>
<calcChain xmlns="http://schemas.openxmlformats.org/spreadsheetml/2006/main">
  <c r="B16" i="3" l="1"/>
  <c r="H13" i="3"/>
  <c r="H4" i="3"/>
  <c r="H5" i="3"/>
  <c r="H6" i="3"/>
  <c r="H7" i="3"/>
  <c r="H8" i="3"/>
  <c r="H9" i="3"/>
  <c r="H10" i="3"/>
  <c r="H11" i="3"/>
  <c r="H12" i="3"/>
  <c r="H3" i="3"/>
  <c r="B15" i="3"/>
  <c r="C14" i="3"/>
  <c r="D14" i="3"/>
  <c r="E14" i="3"/>
  <c r="F14" i="3"/>
  <c r="B14" i="3"/>
  <c r="C13" i="3"/>
  <c r="D13" i="3"/>
  <c r="E13" i="3"/>
  <c r="F13" i="3"/>
  <c r="B13" i="3"/>
  <c r="B12" i="4" l="1"/>
  <c r="G4" i="4"/>
  <c r="B11" i="4"/>
  <c r="B10" i="4"/>
  <c r="B18" i="2" l="1"/>
  <c r="I3" i="2" s="1"/>
  <c r="D5" i="2" l="1"/>
  <c r="D13" i="2"/>
  <c r="C6" i="2"/>
  <c r="C14" i="2"/>
  <c r="D16" i="2"/>
  <c r="D9" i="2"/>
  <c r="C10" i="2"/>
  <c r="C3" i="2"/>
  <c r="C18" i="2" s="1"/>
  <c r="I2" i="2" s="1"/>
  <c r="C12" i="2"/>
  <c r="C5" i="2"/>
  <c r="D6" i="2"/>
  <c r="D14" i="2"/>
  <c r="C7" i="2"/>
  <c r="C15" i="2"/>
  <c r="D8" i="2"/>
  <c r="C17" i="2"/>
  <c r="D17" i="2"/>
  <c r="D10" i="2"/>
  <c r="D3" i="2"/>
  <c r="D7" i="2"/>
  <c r="D15" i="2"/>
  <c r="C8" i="2"/>
  <c r="C16" i="2"/>
  <c r="C9" i="2"/>
  <c r="C11" i="2"/>
  <c r="D11" i="2"/>
  <c r="C4" i="2"/>
  <c r="D4" i="2"/>
  <c r="D12" i="2"/>
  <c r="C13" i="2"/>
  <c r="G3" i="5"/>
  <c r="G4" i="5"/>
  <c r="G5" i="5"/>
  <c r="D18" i="2" l="1"/>
  <c r="I6" i="2" s="1"/>
  <c r="I4" i="2" s="1"/>
  <c r="I5" i="2" s="1"/>
  <c r="G6" i="5"/>
  <c r="A3" i="5"/>
  <c r="A4" i="5" s="1"/>
  <c r="A5" i="5" s="1"/>
  <c r="A6" i="5" s="1"/>
  <c r="A7" i="5" s="1"/>
  <c r="A8" i="5" s="1"/>
  <c r="A9" i="5" s="1"/>
  <c r="A10" i="5" s="1"/>
  <c r="A11" i="5" s="1"/>
  <c r="H5" i="5" l="1"/>
  <c r="H4" i="5"/>
  <c r="H3" i="5"/>
  <c r="B8" i="4"/>
  <c r="H6" i="5" l="1"/>
  <c r="O6" i="1" l="1"/>
  <c r="O7" i="1"/>
  <c r="O8" i="1"/>
  <c r="O9" i="1"/>
  <c r="O10" i="1"/>
  <c r="J1" i="1"/>
  <c r="J2" i="1"/>
  <c r="N6" i="1"/>
  <c r="N7" i="1" l="1"/>
  <c r="N8" i="1" l="1"/>
  <c r="N9" i="1"/>
  <c r="N10" i="1"/>
</calcChain>
</file>

<file path=xl/sharedStrings.xml><?xml version="1.0" encoding="utf-8"?>
<sst xmlns="http://schemas.openxmlformats.org/spreadsheetml/2006/main" count="98" uniqueCount="67">
  <si>
    <t>Categoria da equipe</t>
  </si>
  <si>
    <t>Anos na empresa</t>
  </si>
  <si>
    <t>Ações que possui</t>
  </si>
  <si>
    <t>Ações adicionais solicitadas</t>
  </si>
  <si>
    <t>Varejo</t>
  </si>
  <si>
    <t>Operacional</t>
  </si>
  <si>
    <t>Gerência</t>
  </si>
  <si>
    <t>Total</t>
  </si>
  <si>
    <t>Min(anos)</t>
  </si>
  <si>
    <t>Max(anos)</t>
  </si>
  <si>
    <t>Total geral</t>
  </si>
  <si>
    <t>Classes</t>
  </si>
  <si>
    <t>0-5</t>
  </si>
  <si>
    <t>6-11</t>
  </si>
  <si>
    <t>12-17</t>
  </si>
  <si>
    <t>18-23</t>
  </si>
  <si>
    <t>24-30</t>
  </si>
  <si>
    <t>Frequência</t>
  </si>
  <si>
    <t>Frequência Acumulada</t>
  </si>
  <si>
    <t>Frequência Relativa</t>
  </si>
  <si>
    <r>
      <rPr>
        <b/>
        <sz val="14"/>
        <color rgb="FFFF0000"/>
        <rFont val="Calibri"/>
        <family val="2"/>
      </rPr>
      <t>|</t>
    </r>
    <r>
      <rPr>
        <b/>
        <sz val="14"/>
        <color rgb="FFFF0000"/>
        <rFont val="Calibri"/>
        <family val="2"/>
        <scheme val="minor"/>
      </rPr>
      <t>X-média</t>
    </r>
    <r>
      <rPr>
        <b/>
        <sz val="14"/>
        <color rgb="FFFF0000"/>
        <rFont val="Calibri"/>
        <family val="2"/>
      </rPr>
      <t>|</t>
    </r>
  </si>
  <si>
    <t>(X-média)^2</t>
  </si>
  <si>
    <t>Desvio Médio absoluto</t>
  </si>
  <si>
    <t>Média</t>
  </si>
  <si>
    <t>Desvio Padrão Amostral</t>
  </si>
  <si>
    <t>Coeficiente de variação</t>
  </si>
  <si>
    <t>Variância</t>
  </si>
  <si>
    <t>RESPONDENTES</t>
  </si>
  <si>
    <t>Média amostral de cada item</t>
  </si>
  <si>
    <t>Variância amostral da soma dos valores relacionados com as respostas dos respondentes</t>
  </si>
  <si>
    <t>Variância amostral de cada item</t>
  </si>
  <si>
    <t>Soma das variâncias amostrais dos itens</t>
  </si>
  <si>
    <t>Custo do produto/serviço</t>
  </si>
  <si>
    <r>
      <t>Imposto</t>
    </r>
    <r>
      <rPr>
        <b/>
        <vertAlign val="superscript"/>
        <sz val="11"/>
        <color rgb="FF000000"/>
        <rFont val="Calibri"/>
        <family val="2"/>
      </rPr>
      <t>1</t>
    </r>
  </si>
  <si>
    <r>
      <t>Comissão</t>
    </r>
    <r>
      <rPr>
        <b/>
        <vertAlign val="superscript"/>
        <sz val="11"/>
        <color rgb="FF000000"/>
        <rFont val="Calibri"/>
        <family val="2"/>
      </rPr>
      <t>1</t>
    </r>
  </si>
  <si>
    <r>
      <t>Custo fixo</t>
    </r>
    <r>
      <rPr>
        <b/>
        <vertAlign val="superscript"/>
        <sz val="11"/>
        <color rgb="FFFF0000"/>
        <rFont val="Calibri"/>
        <family val="2"/>
      </rPr>
      <t>2</t>
    </r>
  </si>
  <si>
    <r>
      <t>Frete</t>
    </r>
    <r>
      <rPr>
        <b/>
        <vertAlign val="superscript"/>
        <sz val="11"/>
        <color rgb="FF000000"/>
        <rFont val="Calibri"/>
        <family val="2"/>
      </rPr>
      <t>1</t>
    </r>
  </si>
  <si>
    <r>
      <t>Margem de lucro</t>
    </r>
    <r>
      <rPr>
        <b/>
        <vertAlign val="superscript"/>
        <sz val="11"/>
        <color rgb="FF000000"/>
        <rFont val="Calibri"/>
        <family val="2"/>
      </rPr>
      <t>1</t>
    </r>
  </si>
  <si>
    <t>Preço de venda solicitado/desejado pelos clientes</t>
  </si>
  <si>
    <t>Índice de Comercialização do Produto/Serviço</t>
  </si>
  <si>
    <t>Preço de Venda do Produto/Serviço</t>
  </si>
  <si>
    <t>Custo-alvo</t>
  </si>
  <si>
    <t>Amostra</t>
  </si>
  <si>
    <t>Preço desejado</t>
  </si>
  <si>
    <t>Preço médio</t>
  </si>
  <si>
    <t>Respondente</t>
  </si>
  <si>
    <t>Respostas</t>
  </si>
  <si>
    <t>Sugiro mais música ao vivo</t>
  </si>
  <si>
    <t>Melhores opções de restaurantes e lanchonetes</t>
  </si>
  <si>
    <t>Instalação de sorveteria</t>
  </si>
  <si>
    <t>Ampliação de estacionamento</t>
  </si>
  <si>
    <t>Há necessidade de cafeterias</t>
  </si>
  <si>
    <t>Parcerias de eventos na área externa/interna</t>
  </si>
  <si>
    <t>Aumento no número de salas de cinemas</t>
  </si>
  <si>
    <t>Cobrança proporcional sobre o tempo de estacionamento</t>
  </si>
  <si>
    <t>Codificação</t>
  </si>
  <si>
    <t>E</t>
  </si>
  <si>
    <t>A</t>
  </si>
  <si>
    <t>S</t>
  </si>
  <si>
    <r>
      <t>Entreterimento (</t>
    </r>
    <r>
      <rPr>
        <b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>)</t>
    </r>
  </si>
  <si>
    <r>
      <t>Alimentação (</t>
    </r>
    <r>
      <rPr>
        <b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>)</t>
    </r>
  </si>
  <si>
    <r>
      <t>Serviços Gerais (</t>
    </r>
    <r>
      <rPr>
        <b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>)</t>
    </r>
  </si>
  <si>
    <t>Que tal parcerias com limpeza de autos e estofados?</t>
  </si>
  <si>
    <t>Percentual</t>
  </si>
  <si>
    <t>Seria interessante a instalação de supermercados</t>
  </si>
  <si>
    <t>Vendas (X)</t>
  </si>
  <si>
    <t>Alfa de Cronbach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</si>
</sst>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R$&quot;\ #,##0.00;[Red]\-&quot;R$&quot;\ #,##0.00"/>
    <numFmt numFmtId="164" formatCode="0.0000000000"/>
    <numFmt numFmtId="165" formatCode="&quot;R$&quot;\ #,##0.00"/>
    <numFmt numFmtId="166" formatCode="0.0%"/>
    <numFmt numFmtId="167" formatCode="0.000"/>
    <numFmt numFmtId="168" formatCode="0.000000000"/>
    <numFmt numFmtId="169" formatCode="0.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FF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2" tint="-0.249977111117893"/>
      <name val="Calibri"/>
      <family val="2"/>
      <scheme val="minor"/>
    </font>
    <font>
      <b/>
      <sz val="14"/>
      <color theme="6" tint="-0.499984740745262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i/>
      <sz val="11"/>
      <color rgb="FFFF33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vertAlign val="superscript"/>
      <sz val="11"/>
      <color rgb="FF000000"/>
      <name val="Calibri"/>
      <family val="2"/>
    </font>
    <font>
      <b/>
      <vertAlign val="superscript"/>
      <sz val="11"/>
      <color rgb="FFFF0000"/>
      <name val="Calibri"/>
      <family val="2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FFFD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double">
        <color rgb="FF92D050"/>
      </left>
      <right style="mediumDashed">
        <color rgb="FF92D050"/>
      </right>
      <top style="double">
        <color rgb="FF92D050"/>
      </top>
      <bottom style="double">
        <color rgb="FF92D050"/>
      </bottom>
      <diagonal/>
    </border>
    <border>
      <left style="mediumDashed">
        <color rgb="FF92D050"/>
      </left>
      <right style="double">
        <color rgb="FF92D050"/>
      </right>
      <top style="double">
        <color rgb="FF92D050"/>
      </top>
      <bottom style="double">
        <color rgb="FF92D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7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1" fillId="2" borderId="0" xfId="0" applyFont="1" applyFill="1"/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164" fontId="4" fillId="0" borderId="0" xfId="0" applyNumberFormat="1" applyFont="1"/>
    <xf numFmtId="164" fontId="5" fillId="0" borderId="0" xfId="0" applyNumberFormat="1" applyFont="1"/>
    <xf numFmtId="164" fontId="2" fillId="0" borderId="0" xfId="0" applyNumberFormat="1" applyFont="1"/>
    <xf numFmtId="164" fontId="6" fillId="0" borderId="0" xfId="0" applyNumberFormat="1" applyFont="1"/>
    <xf numFmtId="164" fontId="7" fillId="0" borderId="0" xfId="0" applyNumberFormat="1" applyFont="1"/>
    <xf numFmtId="2" fontId="8" fillId="0" borderId="0" xfId="0" applyNumberFormat="1" applyFont="1"/>
    <xf numFmtId="0" fontId="4" fillId="0" borderId="0" xfId="0" applyNumberFormat="1" applyFont="1" applyAlignment="1">
      <alignment horizontal="right"/>
    </xf>
    <xf numFmtId="0" fontId="9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4" fillId="0" borderId="0" xfId="0" applyFont="1" applyAlignment="1">
      <alignment horizontal="center" wrapText="1"/>
    </xf>
    <xf numFmtId="0" fontId="16" fillId="0" borderId="0" xfId="0" applyFont="1" applyAlignment="1">
      <alignment horizontal="justify" vertical="center"/>
    </xf>
    <xf numFmtId="8" fontId="17" fillId="0" borderId="0" xfId="0" applyNumberFormat="1" applyFont="1" applyAlignment="1">
      <alignment horizontal="right" vertical="center"/>
    </xf>
    <xf numFmtId="0" fontId="16" fillId="5" borderId="0" xfId="0" applyFont="1" applyFill="1" applyAlignment="1">
      <alignment vertical="center"/>
    </xf>
    <xf numFmtId="9" fontId="17" fillId="5" borderId="0" xfId="0" applyNumberFormat="1" applyFont="1" applyFill="1" applyAlignment="1">
      <alignment horizontal="right" vertical="center"/>
    </xf>
    <xf numFmtId="0" fontId="16" fillId="0" borderId="0" xfId="0" applyFont="1" applyAlignment="1">
      <alignment vertical="center"/>
    </xf>
    <xf numFmtId="9" fontId="17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/>
    </xf>
    <xf numFmtId="165" fontId="17" fillId="0" borderId="0" xfId="0" applyNumberFormat="1" applyFont="1" applyAlignment="1">
      <alignment horizontal="right" vertical="center"/>
    </xf>
    <xf numFmtId="0" fontId="20" fillId="6" borderId="4" xfId="0" applyFont="1" applyFill="1" applyBorder="1"/>
    <xf numFmtId="0" fontId="21" fillId="6" borderId="5" xfId="0" applyFont="1" applyFill="1" applyBorder="1"/>
    <xf numFmtId="0" fontId="20" fillId="0" borderId="6" xfId="0" applyFont="1" applyFill="1" applyBorder="1"/>
    <xf numFmtId="8" fontId="22" fillId="0" borderId="7" xfId="0" applyNumberFormat="1" applyFont="1" applyFill="1" applyBorder="1"/>
    <xf numFmtId="0" fontId="20" fillId="6" borderId="8" xfId="0" applyFont="1" applyFill="1" applyBorder="1"/>
    <xf numFmtId="165" fontId="23" fillId="6" borderId="9" xfId="0" applyNumberFormat="1" applyFont="1" applyFill="1" applyBorder="1"/>
    <xf numFmtId="0" fontId="24" fillId="0" borderId="0" xfId="0" applyFont="1"/>
    <xf numFmtId="0" fontId="25" fillId="0" borderId="0" xfId="0" applyFont="1" applyAlignment="1">
      <alignment horizontal="center"/>
    </xf>
    <xf numFmtId="165" fontId="17" fillId="0" borderId="13" xfId="0" applyNumberFormat="1" applyFont="1" applyBorder="1" applyAlignment="1">
      <alignment horizontal="center" vertical="center" wrapText="1"/>
    </xf>
    <xf numFmtId="165" fontId="17" fillId="0" borderId="14" xfId="0" applyNumberFormat="1" applyFont="1" applyBorder="1" applyAlignment="1">
      <alignment horizontal="center" vertical="center" wrapText="1"/>
    </xf>
    <xf numFmtId="0" fontId="26" fillId="0" borderId="0" xfId="0" applyFont="1"/>
    <xf numFmtId="0" fontId="27" fillId="8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0" fillId="0" borderId="0" xfId="0" applyFont="1"/>
    <xf numFmtId="0" fontId="26" fillId="4" borderId="4" xfId="0" applyFont="1" applyFill="1" applyBorder="1"/>
    <xf numFmtId="0" fontId="0" fillId="4" borderId="15" xfId="0" applyFill="1" applyBorder="1"/>
    <xf numFmtId="166" fontId="0" fillId="4" borderId="5" xfId="0" applyNumberFormat="1" applyFill="1" applyBorder="1"/>
    <xf numFmtId="0" fontId="26" fillId="4" borderId="6" xfId="0" applyFont="1" applyFill="1" applyBorder="1"/>
    <xf numFmtId="0" fontId="0" fillId="4" borderId="0" xfId="0" applyFill="1" applyBorder="1"/>
    <xf numFmtId="166" fontId="0" fillId="4" borderId="7" xfId="0" applyNumberFormat="1" applyFill="1" applyBorder="1"/>
    <xf numFmtId="0" fontId="26" fillId="4" borderId="8" xfId="0" applyFont="1" applyFill="1" applyBorder="1"/>
    <xf numFmtId="0" fontId="0" fillId="4" borderId="16" xfId="0" applyFill="1" applyBorder="1"/>
    <xf numFmtId="166" fontId="0" fillId="4" borderId="9" xfId="0" applyNumberFormat="1" applyFill="1" applyBorder="1"/>
    <xf numFmtId="0" fontId="21" fillId="0" borderId="0" xfId="0" applyFont="1"/>
    <xf numFmtId="166" fontId="21" fillId="0" borderId="0" xfId="0" applyNumberFormat="1" applyFont="1"/>
    <xf numFmtId="167" fontId="8" fillId="0" borderId="0" xfId="0" applyNumberFormat="1" applyFont="1"/>
    <xf numFmtId="164" fontId="23" fillId="0" borderId="0" xfId="0" applyNumberFormat="1" applyFont="1"/>
    <xf numFmtId="168" fontId="8" fillId="0" borderId="0" xfId="0" applyNumberFormat="1" applyFont="1"/>
    <xf numFmtId="0" fontId="0" fillId="4" borderId="0" xfId="0" applyFill="1"/>
    <xf numFmtId="165" fontId="21" fillId="7" borderId="0" xfId="0" applyNumberFormat="1" applyFont="1" applyFill="1" applyAlignment="1">
      <alignment horizontal="center"/>
    </xf>
    <xf numFmtId="0" fontId="2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9" fontId="10" fillId="0" borderId="0" xfId="0" applyNumberFormat="1" applyFont="1" applyAlignment="1">
      <alignment horizontal="right"/>
    </xf>
    <xf numFmtId="0" fontId="15" fillId="9" borderId="2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right"/>
    </xf>
    <xf numFmtId="0" fontId="2" fillId="7" borderId="0" xfId="0" applyFont="1" applyFill="1" applyAlignment="1">
      <alignment horizontal="center"/>
    </xf>
    <xf numFmtId="0" fontId="0" fillId="10" borderId="0" xfId="0" applyFill="1"/>
    <xf numFmtId="0" fontId="0" fillId="0" borderId="0" xfId="0" applyFill="1"/>
    <xf numFmtId="0" fontId="16" fillId="5" borderId="10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alignment horizontal="center" readingOrder="0"/>
    </dxf>
    <dxf>
      <font>
        <b/>
        <i val="0"/>
        <color theme="5"/>
      </font>
    </dxf>
    <dxf>
      <font>
        <b/>
        <i val="0"/>
        <color theme="9"/>
      </font>
    </dxf>
    <dxf>
      <font>
        <b/>
        <i val="0"/>
        <color theme="8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5"/>
      <tableStyleElement type="headerRow" dxfId="4"/>
    </tableStyle>
  </tableStyles>
  <colors>
    <mruColors>
      <color rgb="FFEFF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'Pesquisa Qualitativa'!$F$3:$F$5</c:f>
              <c:strCache>
                <c:ptCount val="3"/>
                <c:pt idx="0">
                  <c:v>Entreterimento (E)</c:v>
                </c:pt>
                <c:pt idx="1">
                  <c:v>Alimentação (A)</c:v>
                </c:pt>
                <c:pt idx="2">
                  <c:v>Serviços Gerais (S)</c:v>
                </c:pt>
              </c:strCache>
            </c:strRef>
          </c:cat>
          <c:val>
            <c:numRef>
              <c:f>'Pesquisa Qualitativa'!$G$3:$G$5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Histograma - Anos na Empresa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0"/>
          <c:cat>
            <c:strLit>
              <c:ptCount val="5"/>
              <c:pt idx="0">
                <c:v>0-5</c:v>
              </c:pt>
              <c:pt idx="1">
                <c:v>6-11</c:v>
              </c:pt>
              <c:pt idx="2">
                <c:v>12-17</c:v>
              </c:pt>
              <c:pt idx="3">
                <c:v>18-23</c:v>
              </c:pt>
              <c:pt idx="4">
                <c:v>24-30</c:v>
              </c:pt>
            </c:strLit>
          </c:cat>
          <c:val>
            <c:numLit>
              <c:formatCode>General</c:formatCode>
              <c:ptCount val="5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7</c:v>
              </c:pt>
              <c:pt idx="4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907248"/>
        <c:axId val="104901808"/>
      </c:barChart>
      <c:catAx>
        <c:axId val="104907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pt-BR"/>
          </a:p>
        </c:txPr>
        <c:crossAx val="104901808"/>
        <c:crosses val="autoZero"/>
        <c:auto val="1"/>
        <c:lblAlgn val="ctr"/>
        <c:lblOffset val="100"/>
        <c:noMultiLvlLbl val="0"/>
      </c:catAx>
      <c:valAx>
        <c:axId val="104901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907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Polígono</a:t>
            </a:r>
            <a:r>
              <a:rPr lang="en-US" baseline="0"/>
              <a:t> de Frequência </a:t>
            </a:r>
            <a:r>
              <a:rPr lang="en-US"/>
              <a:t>Acumulada - OGIVA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'Histograma - Ogiva'!$N$5</c:f>
              <c:strCache>
                <c:ptCount val="1"/>
                <c:pt idx="0">
                  <c:v>Frequência Acumulada</c:v>
                </c:pt>
              </c:strCache>
            </c:strRef>
          </c:tx>
          <c:marker>
            <c:symbol val="none"/>
          </c:marker>
          <c:cat>
            <c:strRef>
              <c:f>'Histograma - Ogiva'!$M$6:$M$10</c:f>
              <c:strCache>
                <c:ptCount val="5"/>
                <c:pt idx="0">
                  <c:v>0-5</c:v>
                </c:pt>
                <c:pt idx="1">
                  <c:v>6-11</c:v>
                </c:pt>
                <c:pt idx="2">
                  <c:v>12-17</c:v>
                </c:pt>
                <c:pt idx="3">
                  <c:v>18-23</c:v>
                </c:pt>
                <c:pt idx="4">
                  <c:v>24-30</c:v>
                </c:pt>
              </c:strCache>
            </c:strRef>
          </c:cat>
          <c:val>
            <c:numRef>
              <c:f>'Histograma - Ogiva'!$N$6:$N$10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12</c:v>
                </c:pt>
                <c:pt idx="3">
                  <c:v>19</c:v>
                </c:pt>
                <c:pt idx="4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12144"/>
        <c:axId val="104898000"/>
      </c:lineChart>
      <c:catAx>
        <c:axId val="104912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600"/>
                  <a:t>CLASSE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04898000"/>
        <c:crosses val="autoZero"/>
        <c:auto val="1"/>
        <c:lblAlgn val="ctr"/>
        <c:lblOffset val="100"/>
        <c:noMultiLvlLbl val="0"/>
      </c:catAx>
      <c:valAx>
        <c:axId val="104898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 sz="1400"/>
                  <a:t>FREQUÊNCIA</a:t>
                </a:r>
                <a:r>
                  <a:rPr lang="pt-BR" sz="1400" baseline="0"/>
                  <a:t> ACUMULADA</a:t>
                </a:r>
                <a:endParaRPr lang="pt-BR" sz="14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4912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223837</xdr:colOff>
      <xdr:row>12</xdr:row>
      <xdr:rowOff>133350</xdr:rowOff>
    </xdr:from>
    <xdr:to>
      <xdr:col>7</xdr:col>
      <xdr:colOff>352425</xdr:colOff>
      <xdr:row>38</xdr:row>
      <xdr:rowOff>57150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285749</xdr:colOff>
      <xdr:row>0</xdr:row>
      <xdr:rowOff>190499</xdr:rowOff>
    </xdr:from>
    <xdr:to>
      <xdr:col>17</xdr:col>
      <xdr:colOff>180974</xdr:colOff>
      <xdr:row>35</xdr:row>
      <xdr:rowOff>104775</xdr:rowOff>
    </xdr:to>
    <xdr:grpSp>
      <xdr:nvGrpSpPr>
        <xdr:cNvPr id="8" name="Grupo 7"/>
        <xdr:cNvGrpSpPr/>
      </xdr:nvGrpSpPr>
      <xdr:grpSpPr>
        <a:xfrm>
          <a:off x="10058399" y="190499"/>
          <a:ext cx="5381625" cy="6724651"/>
          <a:chOff x="9677399" y="190499"/>
          <a:chExt cx="5381625" cy="6724651"/>
        </a:xfrm>
      </xdr:grpSpPr>
      <xdr:sp macro="" textlink="">
        <xdr:nvSpPr>
          <xdr:cNvPr id="3" name="CaixaDeTexto 2"/>
          <xdr:cNvSpPr txBox="1"/>
        </xdr:nvSpPr>
        <xdr:spPr>
          <a:xfrm>
            <a:off x="9677399" y="190499"/>
            <a:ext cx="5381625" cy="672465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Questão 01</a:t>
            </a:r>
          </a:p>
          <a:p>
            <a:endPara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pt-B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Para conhecer essas necessidades e implantar estratégias que supram o desejo do consumidor, um gestor precisa de informações a respeito dos clientes, dos concorrentes e de todos aqueles que atuam no setor. A Pesquisa de Mercado é uma das ferramentas que pode auxiliar nesse processo.</a:t>
            </a:r>
          </a:p>
          <a:p>
            <a:r>
              <a:rPr lang="pt-B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Uma forma de condução de tal procedimento é a pesquisa qualitativa, sendo esta com finalidade de compreender as relações de consumo de seu possível público, conhecendo seus hábitos e preferências, através da análise das informações coletadas. São, normalmente, entrevistas ou grupos de discussão, com abordagem mais aprofundada, dependendo do entrevistador no que concerne quanto ao direcionamento e estabelecimento de um foco para a coleta de resultados importantes.</a:t>
            </a:r>
          </a:p>
          <a:p>
            <a:r>
              <a:rPr lang="pt-B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Neste sentido, considere um exemplo de pergunta feita para quinze respondentes sobre sugestões de melhoria de serviços num ambiente comercial (bem como as respostas coletadas):</a:t>
            </a:r>
          </a:p>
          <a:p>
            <a:endPara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pt-B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Pergunta</a:t>
            </a:r>
            <a:r>
              <a:rPr lang="pt-BR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: Há alguma(s) sugestão(ões) para a melhoria dos serviços prestados?</a:t>
            </a:r>
          </a:p>
          <a:p>
            <a:r>
              <a:rPr lang="pt-BR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Respostas obtidas:</a:t>
            </a:r>
          </a:p>
          <a:p>
            <a:endPara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pt-B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Usando as legendas Entreterimento (</a:t>
            </a:r>
            <a:r>
              <a:rPr lang="pt-BR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</a:t>
            </a:r>
            <a:r>
              <a:rPr lang="pt-B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), Alimentação (</a:t>
            </a:r>
            <a:r>
              <a:rPr lang="pt-BR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</a:t>
            </a:r>
            <a:r>
              <a:rPr lang="pt-B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 e Serviços Gerais (</a:t>
            </a:r>
            <a:r>
              <a:rPr lang="pt-BR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</a:t>
            </a:r>
            <a:r>
              <a:rPr lang="pt-B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), cada resposta será codificada de acordo com o tema/legenda dado(a).</a:t>
            </a:r>
          </a:p>
          <a:p>
            <a:r>
              <a:rPr lang="pt-B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	Numa planilha eletrônica, codifique as respostas de acordo com as legendas/temas dadas, atribuindo diferentes cores. Posteriormente, construa no mesmo ambiente (</a:t>
            </a:r>
            <a:r>
              <a:rPr lang="pt-BR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EXCEL</a:t>
            </a:r>
            <a:r>
              <a:rPr lang="pt-B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 um diagrama de setores mostrando o percentual quanto à freqüência da legendas supracitadas.</a:t>
            </a:r>
          </a:p>
        </xdr:txBody>
      </xdr:sp>
      <xdr:pic>
        <xdr:nvPicPr>
          <xdr:cNvPr id="7" name="Imagem 6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734551" y="3371851"/>
            <a:ext cx="5010149" cy="214030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266701</xdr:colOff>
      <xdr:row>2</xdr:row>
      <xdr:rowOff>123825</xdr:rowOff>
    </xdr:from>
    <xdr:ext cx="1514474" cy="280205"/>
    <xdr:sp macro="" textlink="">
      <xdr:nvSpPr>
        <xdr:cNvPr id="3" name="CaixaDeTexto 2"/>
        <xdr:cNvSpPr txBox="1"/>
      </xdr:nvSpPr>
      <xdr:spPr>
        <a:xfrm>
          <a:off x="9867901" y="504825"/>
          <a:ext cx="1514474" cy="28020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pt-BR" sz="1200" b="1"/>
            <a:t>Anos na empresa</a:t>
          </a:r>
        </a:p>
      </xdr:txBody>
    </xdr:sp>
    <xdr:clientData/>
  </xdr:oneCellAnchor>
  <xdr:twoCellAnchor>
    <xdr:from>
      <xdr:col>10</xdr:col>
      <xdr:colOff>0</xdr:colOff>
      <xdr:row>15</xdr:row>
      <xdr:rowOff>123825</xdr:rowOff>
    </xdr:from>
    <xdr:to>
      <xdr:col>13</xdr:col>
      <xdr:colOff>590550</xdr:colOff>
      <xdr:row>21</xdr:row>
      <xdr:rowOff>85724</xdr:rowOff>
    </xdr:to>
    <xdr:sp macro="" textlink="">
      <xdr:nvSpPr>
        <xdr:cNvPr id="7" name="CaixaDeTexto 6"/>
        <xdr:cNvSpPr txBox="1"/>
      </xdr:nvSpPr>
      <xdr:spPr>
        <a:xfrm>
          <a:off x="9686925" y="2981325"/>
          <a:ext cx="3486150" cy="1104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100" b="1"/>
            <a:t>1)</a:t>
          </a:r>
          <a:r>
            <a:rPr lang="pt-BR" sz="1100"/>
            <a:t> Vá em Inserir/Tabela Dinâmica/Gráfico Dinâmico;</a:t>
          </a:r>
        </a:p>
        <a:p>
          <a:r>
            <a:rPr lang="pt-BR" sz="1100" b="1"/>
            <a:t>2)</a:t>
          </a:r>
          <a:r>
            <a:rPr lang="pt-BR" sz="1100"/>
            <a:t> Selecione o intervalo de</a:t>
          </a:r>
          <a:r>
            <a:rPr lang="pt-BR" sz="1100" baseline="0"/>
            <a:t> valores par a categoria ANOS NA EMPRESA;</a:t>
          </a:r>
        </a:p>
        <a:p>
          <a:r>
            <a:rPr lang="pt-BR" sz="1100" b="1" baseline="0"/>
            <a:t>3)</a:t>
          </a:r>
          <a:r>
            <a:rPr lang="pt-BR" sz="1100" baseline="0"/>
            <a:t> Arraste a categoria ANOS NA EMPRESA para a janela VALORES, selecionando a opção  Configurações de Campo de Valor; use a opção CONTAGEM.</a:t>
          </a:r>
        </a:p>
      </xdr:txBody>
    </xdr:sp>
    <xdr:clientData/>
  </xdr:twoCellAnchor>
  <xdr:twoCellAnchor>
    <xdr:from>
      <xdr:col>11</xdr:col>
      <xdr:colOff>1123158</xdr:colOff>
      <xdr:row>11</xdr:row>
      <xdr:rowOff>67469</xdr:rowOff>
    </xdr:from>
    <xdr:to>
      <xdr:col>11</xdr:col>
      <xdr:colOff>1124746</xdr:colOff>
      <xdr:row>15</xdr:row>
      <xdr:rowOff>115094</xdr:rowOff>
    </xdr:to>
    <xdr:cxnSp macro="">
      <xdr:nvCxnSpPr>
        <xdr:cNvPr id="12" name="Conector de seta reta 11"/>
        <xdr:cNvCxnSpPr/>
      </xdr:nvCxnSpPr>
      <xdr:spPr>
        <a:xfrm rot="5400000" flipH="1" flipV="1">
          <a:off x="11091864" y="2566988"/>
          <a:ext cx="809625" cy="1588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619124</xdr:colOff>
      <xdr:row>27</xdr:row>
      <xdr:rowOff>38100</xdr:rowOff>
    </xdr:from>
    <xdr:to>
      <xdr:col>13</xdr:col>
      <xdr:colOff>676275</xdr:colOff>
      <xdr:row>43</xdr:row>
      <xdr:rowOff>161925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762000</xdr:colOff>
      <xdr:row>10</xdr:row>
      <xdr:rowOff>152401</xdr:rowOff>
    </xdr:from>
    <xdr:to>
      <xdr:col>20</xdr:col>
      <xdr:colOff>495300</xdr:colOff>
      <xdr:row>30</xdr:row>
      <xdr:rowOff>66675</xdr:rowOff>
    </xdr:to>
    <xdr:graphicFrame macro="">
      <xdr:nvGraphicFramePr>
        <xdr:cNvPr id="26" name="Gráfico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104775</xdr:colOff>
      <xdr:row>25</xdr:row>
      <xdr:rowOff>180975</xdr:rowOff>
    </xdr:from>
    <xdr:to>
      <xdr:col>6</xdr:col>
      <xdr:colOff>485775</xdr:colOff>
      <xdr:row>61</xdr:row>
      <xdr:rowOff>57151</xdr:rowOff>
    </xdr:to>
    <xdr:sp macro="" textlink="">
      <xdr:nvSpPr>
        <xdr:cNvPr id="9" name="CaixaDeTexto 8"/>
        <xdr:cNvSpPr txBox="1"/>
      </xdr:nvSpPr>
      <xdr:spPr>
        <a:xfrm>
          <a:off x="104775" y="4943475"/>
          <a:ext cx="7467600" cy="6734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O texto abaixo se refere às questões </a:t>
          </a:r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 e </a:t>
          </a:r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. Faça a leitura atenta e responda.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Uma empresa de utilidade pública opera o esquema de ações dos funcionários. A cada ano, os funcionários têm permissão para aplicar em ações da empresa. Os dados mostrados na tabela abaixo são relacionados a 20 desses funcionários.</a:t>
          </a: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QUESTÃO 1</a:t>
          </a:r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Construa no programa EXCEL um diagrama de setores mostrando o percentual quanto à freqüência da “Categoria da equipe”.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QUESTÃO 2</a:t>
          </a:r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/>
        </a:p>
        <a:p>
          <a:r>
            <a:rPr lang="pt-BR" sz="1100"/>
            <a:t>Para o conjunto de dados “Anos na empresa”, determine no programa EXCEL:</a:t>
          </a:r>
          <a:endParaRPr lang="pt-BR"/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A - os valores máximo e mínimo;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B - Um histograma de freqüência. Use um intervalo de classe com amplitude de 5 anos;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C - construa um gráfico da freqüência acumulada (ogiva).</a:t>
          </a:r>
        </a:p>
      </xdr:txBody>
    </xdr:sp>
    <xdr:clientData/>
  </xdr:twoCellAnchor>
  <xdr:twoCellAnchor editAs="oneCell">
    <xdr:from>
      <xdr:col>0</xdr:col>
      <xdr:colOff>514350</xdr:colOff>
      <xdr:row>29</xdr:row>
      <xdr:rowOff>9525</xdr:rowOff>
    </xdr:from>
    <xdr:to>
      <xdr:col>5</xdr:col>
      <xdr:colOff>718306</xdr:colOff>
      <xdr:row>49</xdr:row>
      <xdr:rowOff>147470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14350" y="5534025"/>
          <a:ext cx="6099931" cy="394794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112059</xdr:colOff>
      <xdr:row>8</xdr:row>
      <xdr:rowOff>117662</xdr:rowOff>
    </xdr:from>
    <xdr:to>
      <xdr:col>5</xdr:col>
      <xdr:colOff>941293</xdr:colOff>
      <xdr:row>10</xdr:row>
      <xdr:rowOff>26334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4206" y="1893794"/>
          <a:ext cx="2050675" cy="345702"/>
        </a:xfrm>
        <a:prstGeom prst="rect">
          <a:avLst/>
        </a:prstGeom>
        <a:noFill/>
        <a:ln w="635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106455</xdr:colOff>
      <xdr:row>10</xdr:row>
      <xdr:rowOff>45156</xdr:rowOff>
    </xdr:from>
    <xdr:to>
      <xdr:col>5</xdr:col>
      <xdr:colOff>324971</xdr:colOff>
      <xdr:row>10</xdr:row>
      <xdr:rowOff>198343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9323" y="2258318"/>
          <a:ext cx="829236" cy="153187"/>
        </a:xfrm>
        <a:prstGeom prst="rect">
          <a:avLst/>
        </a:prstGeom>
        <a:noFill/>
        <a:ln w="635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9</xdr:row>
      <xdr:rowOff>114300</xdr:rowOff>
    </xdr:from>
    <xdr:to>
      <xdr:col>15</xdr:col>
      <xdr:colOff>381000</xdr:colOff>
      <xdr:row>16</xdr:row>
      <xdr:rowOff>9525</xdr:rowOff>
    </xdr:to>
    <xdr:grpSp>
      <xdr:nvGrpSpPr>
        <xdr:cNvPr id="3" name="Grupo 2"/>
        <xdr:cNvGrpSpPr/>
      </xdr:nvGrpSpPr>
      <xdr:grpSpPr>
        <a:xfrm>
          <a:off x="4505325" y="2286000"/>
          <a:ext cx="9547225" cy="1584325"/>
          <a:chOff x="4505325" y="2257425"/>
          <a:chExt cx="11372850" cy="1457325"/>
        </a:xfrm>
      </xdr:grpSpPr>
      <xdr:sp macro="" textlink="">
        <xdr:nvSpPr>
          <xdr:cNvPr id="2" name="CaixaDeTexto 1"/>
          <xdr:cNvSpPr txBox="1"/>
        </xdr:nvSpPr>
        <xdr:spPr>
          <a:xfrm>
            <a:off x="7591425" y="2257425"/>
            <a:ext cx="8286750" cy="14573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QUESTÃO </a:t>
            </a:r>
            <a:r>
              <a:rPr lang="pt-BR" sz="1100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4</a:t>
            </a:r>
            <a:endParaRPr lang="pt-BR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r>
              <a:rPr lang="pt-B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Para uma amostra de 15 clientes de um pequeno mercado de artigos elétricos, foram observados os seguintes valores de vendas, dispostos em ordem crescente: $0,10; $0,10; $0,25; $0,25; $0,25; $0,35; $0,40; $0,53; $0,90; $1,25; $1,35; $2,45; $2,71; $3,09; $4,10. Determine, para</a:t>
            </a:r>
            <a:r>
              <a:rPr lang="pt-BR" sz="11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a variável VENDAS (</a:t>
            </a:r>
            <a:r>
              <a:rPr lang="pt-B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usando o programa EXCEL):</a:t>
            </a:r>
          </a:p>
          <a:p>
            <a:r>
              <a:rPr lang="pt-B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A - o desvio médio absoluto;</a:t>
            </a:r>
          </a:p>
          <a:p>
            <a:r>
              <a:rPr lang="pt-B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B - </a:t>
            </a:r>
            <a:r>
              <a:rPr lang="pt-B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 variância amostral</a:t>
            </a:r>
            <a:r>
              <a:rPr lang="pt-B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;</a:t>
            </a:r>
          </a:p>
          <a:p>
            <a:r>
              <a:rPr lang="pt-B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 - </a:t>
            </a:r>
            <a:r>
              <a:rPr lang="pt-B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o desvio padrão amostral</a:t>
            </a:r>
            <a:r>
              <a:rPr lang="pt-B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.;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</a:t>
            </a:r>
            <a:r>
              <a:rPr lang="pt-B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pt-B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o coeficiente de variação na amostra.</a:t>
            </a:r>
            <a:endParaRPr lang="pt-BR">
              <a:effectLst/>
            </a:endParaRPr>
          </a:p>
        </xdr:txBody>
      </xdr:sp>
      <xdr:cxnSp macro="">
        <xdr:nvCxnSpPr>
          <xdr:cNvPr id="7" name="Conector de seta reta 6"/>
          <xdr:cNvCxnSpPr>
            <a:endCxn id="2" idx="1"/>
          </xdr:cNvCxnSpPr>
        </xdr:nvCxnSpPr>
        <xdr:spPr>
          <a:xfrm>
            <a:off x="4505325" y="2981325"/>
            <a:ext cx="3086100" cy="4763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0</xdr:row>
      <xdr:rowOff>9525</xdr:rowOff>
    </xdr:from>
    <xdr:ext cx="551048" cy="280205"/>
    <xdr:sp macro="" textlink="">
      <xdr:nvSpPr>
        <xdr:cNvPr id="2" name="CaixaDeTexto 1"/>
        <xdr:cNvSpPr txBox="1"/>
      </xdr:nvSpPr>
      <xdr:spPr>
        <a:xfrm>
          <a:off x="3667125" y="9525"/>
          <a:ext cx="55104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pt-BR" sz="1200" b="1">
              <a:solidFill>
                <a:schemeClr val="accent2"/>
              </a:solidFill>
            </a:rPr>
            <a:t>ITENS</a:t>
          </a:r>
        </a:p>
      </xdr:txBody>
    </xdr:sp>
    <xdr:clientData/>
  </xdr:oneCellAnchor>
  <xdr:oneCellAnchor>
    <xdr:from>
      <xdr:col>7</xdr:col>
      <xdr:colOff>7589</xdr:colOff>
      <xdr:row>0</xdr:row>
      <xdr:rowOff>9525</xdr:rowOff>
    </xdr:from>
    <xdr:ext cx="3393173" cy="468077"/>
    <xdr:sp macro="" textlink="">
      <xdr:nvSpPr>
        <xdr:cNvPr id="3" name="CaixaDeTexto 2"/>
        <xdr:cNvSpPr txBox="1"/>
      </xdr:nvSpPr>
      <xdr:spPr>
        <a:xfrm>
          <a:off x="6065489" y="9525"/>
          <a:ext cx="3393173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pt-BR" sz="1200" b="1"/>
            <a:t>Total dos valores associados com as respostas</a:t>
          </a:r>
          <a:r>
            <a:rPr lang="pt-BR" sz="1200" b="1" baseline="0"/>
            <a:t> de</a:t>
          </a:r>
        </a:p>
        <a:p>
          <a:pPr algn="ctr"/>
          <a:r>
            <a:rPr lang="pt-BR" sz="1200" b="1" baseline="0"/>
            <a:t>cada respondente</a:t>
          </a:r>
          <a:endParaRPr lang="pt-BR" sz="1200" b="1"/>
        </a:p>
      </xdr:txBody>
    </xdr:sp>
    <xdr:clientData/>
  </xdr:oneCellAnchor>
  <xdr:twoCellAnchor>
    <xdr:from>
      <xdr:col>10</xdr:col>
      <xdr:colOff>9525</xdr:colOff>
      <xdr:row>2</xdr:row>
      <xdr:rowOff>123823</xdr:rowOff>
    </xdr:from>
    <xdr:to>
      <xdr:col>20</xdr:col>
      <xdr:colOff>47625</xdr:colOff>
      <xdr:row>52</xdr:row>
      <xdr:rowOff>142874</xdr:rowOff>
    </xdr:to>
    <xdr:sp macro="" textlink="">
      <xdr:nvSpPr>
        <xdr:cNvPr id="4" name="CaixaDeTexto 3"/>
        <xdr:cNvSpPr txBox="1"/>
      </xdr:nvSpPr>
      <xdr:spPr>
        <a:xfrm>
          <a:off x="11410950" y="552448"/>
          <a:ext cx="6134100" cy="109728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QUESTÃO </a:t>
          </a:r>
          <a:r>
            <a:rPr lang="pt-BR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4</a:t>
          </a:r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Uma forma de avaliar a confiabilidade de um questionário reside na inspeção do parâmetro/coeficiente </a:t>
          </a:r>
          <a:r>
            <a:rPr lang="pt-BR" sz="1100" i="1">
              <a:solidFill>
                <a:schemeClr val="dk1"/>
              </a:solidFill>
              <a:latin typeface="+mn-lt"/>
              <a:ea typeface="+mn-ea"/>
              <a:cs typeface="+mn-cs"/>
            </a:rPr>
            <a:t>Alfa de Cronbach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. Ele mede a correlação entre respostas em um questionário através da análise das respostas dadas pelos respondentes, apresentando uma correlação média entre as perguntas. Neste sentido, todo questionário é constituído por várias questões elaboradas em sequência, que aqui serão chamadas de itens. Considere um questionário com </a:t>
          </a:r>
          <a:r>
            <a:rPr lang="pt-BR" sz="1100" i="1">
              <a:solidFill>
                <a:schemeClr val="dk1"/>
              </a:solidFill>
              <a:latin typeface="+mn-lt"/>
              <a:ea typeface="+mn-ea"/>
              <a:cs typeface="+mn-cs"/>
            </a:rPr>
            <a:t>k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 itens, isto é, </a:t>
          </a:r>
          <a:r>
            <a:rPr lang="pt-BR" sz="1100" i="1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 = 1, 2,...,</a:t>
          </a:r>
          <a:r>
            <a:rPr lang="pt-BR" sz="1100" i="1">
              <a:solidFill>
                <a:schemeClr val="dk1"/>
              </a:solidFill>
              <a:latin typeface="+mn-lt"/>
              <a:ea typeface="+mn-ea"/>
              <a:cs typeface="+mn-cs"/>
            </a:rPr>
            <a:t>k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, respondido por </a:t>
          </a:r>
          <a:r>
            <a:rPr lang="pt-BR" sz="1100" i="1">
              <a:solidFill>
                <a:schemeClr val="dk1"/>
              </a:solidFill>
              <a:latin typeface="+mn-lt"/>
              <a:ea typeface="+mn-ea"/>
              <a:cs typeface="+mn-cs"/>
            </a:rPr>
            <a:t>n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 pessoas, isto é, </a:t>
          </a:r>
          <a:r>
            <a:rPr lang="pt-BR" sz="1100" i="1">
              <a:solidFill>
                <a:schemeClr val="dk1"/>
              </a:solidFill>
              <a:latin typeface="+mn-lt"/>
              <a:ea typeface="+mn-ea"/>
              <a:cs typeface="+mn-cs"/>
            </a:rPr>
            <a:t>j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 = 1, 2,...,</a:t>
          </a:r>
          <a:r>
            <a:rPr lang="pt-BR" sz="1100" i="1">
              <a:solidFill>
                <a:schemeClr val="dk1"/>
              </a:solidFill>
              <a:latin typeface="+mn-lt"/>
              <a:ea typeface="+mn-ea"/>
              <a:cs typeface="+mn-cs"/>
            </a:rPr>
            <a:t>n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	As opções de resposta para cada item podem ser dicotômicas como “Sim” e “Não” ou escalonadas como “Concordo plenamente”, “Concordo”, “Não concordo nem discordo”, “Discordo”, “Discordo completamente”. Para o cálculo do coeficiente, toda resposta deve ser transformada em números.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	Este cálculo se baseia na fórmula: </a:t>
          </a: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em que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r>
            <a:rPr lang="pt-BR" sz="1100" i="1">
              <a:solidFill>
                <a:schemeClr val="dk1"/>
              </a:solidFill>
              <a:latin typeface="+mn-lt"/>
              <a:ea typeface="+mn-ea"/>
              <a:cs typeface="+mn-cs"/>
            </a:rPr>
            <a:t>k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 é o número de itens (perguntas) do questionário,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  é a variância (desvio padrão ao quadrado) do </a:t>
          </a:r>
          <a:r>
            <a:rPr lang="pt-BR" sz="1100" i="1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-ésimo item (</a:t>
          </a:r>
          <a:r>
            <a:rPr lang="pt-BR" sz="1100" i="1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 = 1, ..., </a:t>
          </a:r>
          <a:r>
            <a:rPr lang="pt-BR" sz="1100" i="1">
              <a:solidFill>
                <a:schemeClr val="dk1"/>
              </a:solidFill>
              <a:latin typeface="+mn-lt"/>
              <a:ea typeface="+mn-ea"/>
              <a:cs typeface="+mn-cs"/>
            </a:rPr>
            <a:t>k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),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 é a variância (desvio padrão ao quadrado) da soma dos itens de cada indivíduo </a:t>
          </a:r>
          <a:r>
            <a:rPr lang="pt-BR" sz="1100" i="1">
              <a:solidFill>
                <a:schemeClr val="dk1"/>
              </a:solidFill>
              <a:latin typeface="+mn-lt"/>
              <a:ea typeface="+mn-ea"/>
              <a:cs typeface="+mn-cs"/>
            </a:rPr>
            <a:t>j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 nos </a:t>
          </a:r>
          <a:r>
            <a:rPr lang="pt-BR" sz="1100" i="1">
              <a:solidFill>
                <a:schemeClr val="dk1"/>
              </a:solidFill>
              <a:latin typeface="+mn-lt"/>
              <a:ea typeface="+mn-ea"/>
              <a:cs typeface="+mn-cs"/>
            </a:rPr>
            <a:t>k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 itens.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Como exemplo ilustrativo, considere o seguinte exercício onde as opções de resposta eram dicotômicas, isto é, “Sim”, que foi transformado em 1 (atribuído como valor de item) e “Não”, que foi transformado em zero.</a:t>
          </a:r>
        </a:p>
        <a:p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Tabela 1- Resultados da aplicação de um questionário com cinco itens e dez respondentes</a:t>
          </a: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A partir de tais dados e usando o programa EXCEL, determine: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A- o valor da média amostral de cada item;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B- a variância amostral de cada item;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C- a soma dos valores dos itens (respostas) de cada respondente;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D- a variância amostral da soma dos valores dos itens (respostas) de cada respondente;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E- a soma  das variâncias amostrais dos valores dos itens;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F- o coeficiente </a:t>
          </a:r>
          <a:r>
            <a:rPr lang="pt-BR" sz="1100" i="1">
              <a:solidFill>
                <a:schemeClr val="dk1"/>
              </a:solidFill>
              <a:latin typeface="+mn-lt"/>
              <a:ea typeface="+mn-ea"/>
              <a:cs typeface="+mn-cs"/>
            </a:rPr>
            <a:t>Alpha de Cronbach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;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G-Uma maneira prática de julgar o valor do parâmetro  é dada na tabela 2 abaixo, desde que se tenha a precaução de levar em conta as limitações dessa estatística.</a:t>
          </a:r>
        </a:p>
        <a:p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Tabela 2 - Confiabilidade do questionário segundo o valor de </a:t>
          </a: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Neste caso, verifique a </a:t>
          </a:r>
          <a:r>
            <a:rPr lang="pt-BR" sz="1100" u="sng">
              <a:solidFill>
                <a:schemeClr val="dk1"/>
              </a:solidFill>
              <a:latin typeface="+mn-lt"/>
              <a:ea typeface="+mn-ea"/>
              <a:cs typeface="+mn-cs"/>
            </a:rPr>
            <a:t>validade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 do questionário a partir do coeficiente calculado no item F.</a:t>
          </a:r>
        </a:p>
      </xdr:txBody>
    </xdr:sp>
    <xdr:clientData/>
  </xdr:twoCellAnchor>
  <xdr:twoCellAnchor editAs="oneCell">
    <xdr:from>
      <xdr:col>12</xdr:col>
      <xdr:colOff>209550</xdr:colOff>
      <xdr:row>23</xdr:row>
      <xdr:rowOff>38100</xdr:rowOff>
    </xdr:from>
    <xdr:to>
      <xdr:col>17</xdr:col>
      <xdr:colOff>428625</xdr:colOff>
      <xdr:row>34</xdr:row>
      <xdr:rowOff>42176</xdr:rowOff>
    </xdr:to>
    <xdr:pic>
      <xdr:nvPicPr>
        <xdr:cNvPr id="5" name="Imagem 4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830175" y="5895975"/>
          <a:ext cx="3267075" cy="2099576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12</xdr:col>
      <xdr:colOff>95250</xdr:colOff>
      <xdr:row>43</xdr:row>
      <xdr:rowOff>180975</xdr:rowOff>
    </xdr:from>
    <xdr:to>
      <xdr:col>17</xdr:col>
      <xdr:colOff>571500</xdr:colOff>
      <xdr:row>50</xdr:row>
      <xdr:rowOff>158703</xdr:rowOff>
    </xdr:to>
    <xdr:pic>
      <xdr:nvPicPr>
        <xdr:cNvPr id="6" name="Imagem 5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715875" y="9848850"/>
          <a:ext cx="3524250" cy="13112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600075</xdr:colOff>
      <xdr:row>39</xdr:row>
      <xdr:rowOff>66675</xdr:rowOff>
    </xdr:from>
    <xdr:to>
      <xdr:col>16</xdr:col>
      <xdr:colOff>152380</xdr:colOff>
      <xdr:row>40</xdr:row>
      <xdr:rowOff>28556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049500" y="8972550"/>
          <a:ext cx="161905" cy="152381"/>
        </a:xfrm>
        <a:prstGeom prst="rect">
          <a:avLst/>
        </a:prstGeom>
      </xdr:spPr>
    </xdr:pic>
    <xdr:clientData/>
  </xdr:twoCellAnchor>
  <xdr:twoCellAnchor>
    <xdr:from>
      <xdr:col>0</xdr:col>
      <xdr:colOff>1190625</xdr:colOff>
      <xdr:row>16</xdr:row>
      <xdr:rowOff>9525</xdr:rowOff>
    </xdr:from>
    <xdr:to>
      <xdr:col>10</xdr:col>
      <xdr:colOff>9525</xdr:colOff>
      <xdr:row>23</xdr:row>
      <xdr:rowOff>180974</xdr:rowOff>
    </xdr:to>
    <xdr:cxnSp macro="">
      <xdr:nvCxnSpPr>
        <xdr:cNvPr id="9" name="Forma 8"/>
        <xdr:cNvCxnSpPr>
          <a:endCxn id="4" idx="1"/>
        </xdr:cNvCxnSpPr>
      </xdr:nvCxnSpPr>
      <xdr:spPr>
        <a:xfrm>
          <a:off x="1190625" y="4524375"/>
          <a:ext cx="10220325" cy="1514474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85725</xdr:colOff>
          <xdr:row>12</xdr:row>
          <xdr:rowOff>638175</xdr:rowOff>
        </xdr:from>
        <xdr:to>
          <xdr:col>15</xdr:col>
          <xdr:colOff>171450</xdr:colOff>
          <xdr:row>14</xdr:row>
          <xdr:rowOff>219075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2362200</xdr:colOff>
          <xdr:row>16</xdr:row>
          <xdr:rowOff>152400</xdr:rowOff>
        </xdr:from>
        <xdr:to>
          <xdr:col>3</xdr:col>
          <xdr:colOff>314325</xdr:colOff>
          <xdr:row>22</xdr:row>
          <xdr:rowOff>47625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2430.966815856482" createdVersion="3" refreshedVersion="3" minRefreshableVersion="3" recordCount="20">
  <cacheSource type="worksheet">
    <worksheetSource ref="B1:B21" sheet="Histograma - Ogiva"/>
  </cacheSource>
  <cacheFields count="1">
    <cacheField name="Anos na empresa" numFmtId="0">
      <sharedItems containsSemiMixedTypes="0" containsString="0" containsNumber="1" containsInteger="1" minValue="2" maxValue="27" count="13">
        <n v="3"/>
        <n v="10"/>
        <n v="4"/>
        <n v="20"/>
        <n v="12"/>
        <n v="15"/>
        <n v="9"/>
        <n v="27"/>
        <n v="23"/>
        <n v="19"/>
        <n v="16"/>
        <n v="2"/>
        <n v="7"/>
      </sharedItems>
      <fieldGroup base="0">
        <rangePr autoStart="0" autoEnd="0" startNum="0" endNum="30" groupInterval="6"/>
        <groupItems count="7">
          <s v="&lt;0"/>
          <s v="0-5"/>
          <s v="6-11"/>
          <s v="12-17"/>
          <s v="18-23"/>
          <s v="24-30"/>
          <s v="&gt;3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</r>
  <r>
    <x v="1"/>
  </r>
  <r>
    <x v="2"/>
  </r>
  <r>
    <x v="3"/>
  </r>
  <r>
    <x v="4"/>
  </r>
  <r>
    <x v="5"/>
  </r>
  <r>
    <x v="6"/>
  </r>
  <r>
    <x v="7"/>
  </r>
  <r>
    <x v="8"/>
  </r>
  <r>
    <x v="6"/>
  </r>
  <r>
    <x v="9"/>
  </r>
  <r>
    <x v="5"/>
  </r>
  <r>
    <x v="4"/>
  </r>
  <r>
    <x v="8"/>
  </r>
  <r>
    <x v="3"/>
  </r>
  <r>
    <x v="8"/>
  </r>
  <r>
    <x v="10"/>
  </r>
  <r>
    <x v="8"/>
  </r>
  <r>
    <x v="11"/>
  </r>
  <r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 chartFormat="7" rowHeaderCaption="Classes">
  <location ref="K5:L11" firstHeaderRow="1" firstDataRow="1" firstDataCol="1"/>
  <pivotFields count="1">
    <pivotField axis="axisRow"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Frequência" fld="0" subtotal="count" baseField="0" baseItem="0"/>
  </dataFields>
  <formats count="1">
    <format dxfId="0">
      <pivotArea dataOnly="0" labelOnly="1" fieldPosition="0">
        <references count="1">
          <reference field="0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5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zoomScaleNormal="100" workbookViewId="0">
      <selection activeCell="G4" sqref="G4"/>
    </sheetView>
  </sheetViews>
  <sheetFormatPr defaultRowHeight="15" x14ac:dyDescent="0.25"/>
  <cols>
    <col min="1" max="1" width="18.5703125" customWidth="1"/>
    <col min="2" max="2" width="55.85546875" bestFit="1" customWidth="1"/>
    <col min="3" max="3" width="14.28515625" bestFit="1" customWidth="1"/>
    <col min="6" max="6" width="19" customWidth="1"/>
    <col min="8" max="8" width="11.42578125" bestFit="1" customWidth="1"/>
  </cols>
  <sheetData>
    <row r="1" spans="1:14" ht="18.75" x14ac:dyDescent="0.3">
      <c r="A1" s="44" t="s">
        <v>45</v>
      </c>
      <c r="B1" s="45" t="s">
        <v>46</v>
      </c>
      <c r="C1" s="44" t="s">
        <v>55</v>
      </c>
    </row>
    <row r="2" spans="1:14" ht="15.75" x14ac:dyDescent="0.25">
      <c r="A2" s="21">
        <v>1</v>
      </c>
      <c r="B2" t="s">
        <v>47</v>
      </c>
      <c r="C2" s="43" t="s">
        <v>56</v>
      </c>
      <c r="H2" s="21" t="s">
        <v>63</v>
      </c>
    </row>
    <row r="3" spans="1:14" ht="15.75" x14ac:dyDescent="0.25">
      <c r="A3" s="21">
        <f>A2+1</f>
        <v>2</v>
      </c>
      <c r="B3" t="s">
        <v>48</v>
      </c>
      <c r="C3" s="43" t="s">
        <v>57</v>
      </c>
      <c r="F3" s="47" t="s">
        <v>59</v>
      </c>
      <c r="G3" s="48">
        <f>COUNTIF($C$2:$C$11,"E")</f>
        <v>3</v>
      </c>
      <c r="H3" s="49">
        <f>G3/$G$6</f>
        <v>0.3</v>
      </c>
    </row>
    <row r="4" spans="1:14" ht="15.75" x14ac:dyDescent="0.25">
      <c r="A4" s="21">
        <f t="shared" ref="A4:A11" si="0">A3+1</f>
        <v>3</v>
      </c>
      <c r="B4" t="s">
        <v>49</v>
      </c>
      <c r="C4" s="43" t="s">
        <v>57</v>
      </c>
      <c r="F4" s="50" t="s">
        <v>60</v>
      </c>
      <c r="G4" s="51">
        <f>COUNTIF($C$2:$C$11,"A")</f>
        <v>3</v>
      </c>
      <c r="H4" s="52">
        <f t="shared" ref="H4:H5" si="1">G4/$G$6</f>
        <v>0.3</v>
      </c>
    </row>
    <row r="5" spans="1:14" ht="15.75" x14ac:dyDescent="0.25">
      <c r="A5" s="21">
        <f t="shared" si="0"/>
        <v>4</v>
      </c>
      <c r="B5" t="s">
        <v>62</v>
      </c>
      <c r="C5" s="43" t="s">
        <v>58</v>
      </c>
      <c r="F5" s="53" t="s">
        <v>61</v>
      </c>
      <c r="G5" s="54">
        <f>COUNTIF($C$2:$C$11,"S")</f>
        <v>4</v>
      </c>
      <c r="H5" s="55">
        <f t="shared" si="1"/>
        <v>0.4</v>
      </c>
    </row>
    <row r="6" spans="1:14" ht="15.75" x14ac:dyDescent="0.25">
      <c r="A6" s="21">
        <f t="shared" si="0"/>
        <v>5</v>
      </c>
      <c r="B6" t="s">
        <v>50</v>
      </c>
      <c r="C6" s="43" t="s">
        <v>58</v>
      </c>
      <c r="F6" s="42" t="s">
        <v>7</v>
      </c>
      <c r="G6" s="56">
        <f>SUM(G3:G5)</f>
        <v>10</v>
      </c>
      <c r="H6" s="57">
        <f>SUM(H3:H5)</f>
        <v>1</v>
      </c>
    </row>
    <row r="7" spans="1:14" ht="15.75" x14ac:dyDescent="0.25">
      <c r="A7" s="21">
        <f t="shared" si="0"/>
        <v>6</v>
      </c>
      <c r="B7" t="s">
        <v>51</v>
      </c>
      <c r="C7" s="43" t="s">
        <v>57</v>
      </c>
    </row>
    <row r="8" spans="1:14" ht="15.75" x14ac:dyDescent="0.25">
      <c r="A8" s="21">
        <f t="shared" si="0"/>
        <v>7</v>
      </c>
      <c r="B8" t="s">
        <v>52</v>
      </c>
      <c r="C8" s="43" t="s">
        <v>56</v>
      </c>
    </row>
    <row r="9" spans="1:14" ht="15.75" x14ac:dyDescent="0.25">
      <c r="A9" s="21">
        <f t="shared" si="0"/>
        <v>8</v>
      </c>
      <c r="B9" t="s">
        <v>53</v>
      </c>
      <c r="C9" s="43" t="s">
        <v>56</v>
      </c>
    </row>
    <row r="10" spans="1:14" ht="15.75" x14ac:dyDescent="0.25">
      <c r="A10" s="21">
        <f t="shared" si="0"/>
        <v>9</v>
      </c>
      <c r="B10" t="s">
        <v>54</v>
      </c>
      <c r="C10" s="43" t="s">
        <v>58</v>
      </c>
    </row>
    <row r="11" spans="1:14" ht="15.75" x14ac:dyDescent="0.25">
      <c r="A11" s="21">
        <f t="shared" si="0"/>
        <v>10</v>
      </c>
      <c r="B11" t="s">
        <v>64</v>
      </c>
      <c r="C11" s="43" t="s">
        <v>58</v>
      </c>
      <c r="N11" s="46"/>
    </row>
  </sheetData>
  <conditionalFormatting sqref="C2:C11">
    <cfRule type="containsText" dxfId="3" priority="1" operator="containsText" text="S">
      <formula>NOT(ISERROR(SEARCH("S",C2)))</formula>
    </cfRule>
    <cfRule type="containsText" dxfId="2" priority="2" operator="containsText" text="A">
      <formula>NOT(ISERROR(SEARCH("A",C2)))</formula>
    </cfRule>
    <cfRule type="containsText" dxfId="1" priority="3" operator="containsText" text="E">
      <formula>NOT(ISERROR(SEARCH("E",C2)))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opLeftCell="D1" workbookViewId="0">
      <selection activeCell="H24" sqref="H24"/>
    </sheetView>
  </sheetViews>
  <sheetFormatPr defaultRowHeight="15" x14ac:dyDescent="0.25"/>
  <cols>
    <col min="1" max="1" width="18.42578125" customWidth="1"/>
    <col min="2" max="2" width="16.42578125" customWidth="1"/>
    <col min="3" max="3" width="16.28515625" customWidth="1"/>
    <col min="4" max="4" width="17.85546875" customWidth="1"/>
    <col min="5" max="5" width="19.42578125" bestFit="1" customWidth="1"/>
    <col min="6" max="6" width="17.85546875" customWidth="1"/>
    <col min="7" max="7" width="10.28515625" bestFit="1" customWidth="1"/>
    <col min="9" max="9" width="10.42578125" customWidth="1"/>
    <col min="11" max="11" width="10.28515625" customWidth="1"/>
    <col min="12" max="12" width="24" customWidth="1"/>
    <col min="13" max="14" width="21.85546875" customWidth="1"/>
    <col min="15" max="15" width="18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I1" s="1" t="s">
        <v>8</v>
      </c>
      <c r="J1">
        <f>MIN(B2:B21)</f>
        <v>2</v>
      </c>
    </row>
    <row r="2" spans="1:15" x14ac:dyDescent="0.25">
      <c r="A2" s="1" t="s">
        <v>4</v>
      </c>
      <c r="B2">
        <v>3</v>
      </c>
      <c r="C2">
        <v>70</v>
      </c>
      <c r="D2">
        <v>0</v>
      </c>
      <c r="I2" s="1" t="s">
        <v>9</v>
      </c>
      <c r="J2">
        <f>MAX(B2:B21)</f>
        <v>27</v>
      </c>
    </row>
    <row r="3" spans="1:15" x14ac:dyDescent="0.25">
      <c r="A3" s="1" t="s">
        <v>5</v>
      </c>
      <c r="B3">
        <v>10</v>
      </c>
      <c r="C3">
        <v>135</v>
      </c>
      <c r="D3">
        <v>250</v>
      </c>
      <c r="F3" s="1"/>
    </row>
    <row r="4" spans="1:15" x14ac:dyDescent="0.25">
      <c r="A4" s="1" t="s">
        <v>4</v>
      </c>
      <c r="B4">
        <v>4</v>
      </c>
      <c r="C4">
        <v>122</v>
      </c>
      <c r="D4">
        <v>1250</v>
      </c>
      <c r="F4" s="2"/>
      <c r="H4" s="3"/>
    </row>
    <row r="5" spans="1:15" x14ac:dyDescent="0.25">
      <c r="A5" s="1" t="s">
        <v>6</v>
      </c>
      <c r="B5">
        <v>20</v>
      </c>
      <c r="C5">
        <v>122</v>
      </c>
      <c r="D5">
        <v>750</v>
      </c>
      <c r="F5" s="2"/>
      <c r="K5" s="6" t="s">
        <v>11</v>
      </c>
      <c r="L5" t="s">
        <v>17</v>
      </c>
      <c r="M5" s="8" t="s">
        <v>11</v>
      </c>
      <c r="N5" s="7" t="s">
        <v>18</v>
      </c>
      <c r="O5" s="7" t="s">
        <v>19</v>
      </c>
    </row>
    <row r="6" spans="1:15" x14ac:dyDescent="0.25">
      <c r="A6" s="1" t="s">
        <v>5</v>
      </c>
      <c r="B6">
        <v>12</v>
      </c>
      <c r="C6">
        <v>126</v>
      </c>
      <c r="D6">
        <v>1250</v>
      </c>
      <c r="F6" s="2"/>
      <c r="K6" s="4" t="s">
        <v>12</v>
      </c>
      <c r="L6" s="5">
        <v>3</v>
      </c>
      <c r="M6" s="4" t="s">
        <v>12</v>
      </c>
      <c r="N6">
        <f>GETPIVOTDATA("Anos na empresa",$K$5,"Anos na empresa",0)</f>
        <v>3</v>
      </c>
      <c r="O6">
        <f>L6/$L$11</f>
        <v>0.15</v>
      </c>
    </row>
    <row r="7" spans="1:15" x14ac:dyDescent="0.25">
      <c r="A7" s="1" t="s">
        <v>5</v>
      </c>
      <c r="B7">
        <v>15</v>
      </c>
      <c r="C7">
        <v>104</v>
      </c>
      <c r="D7">
        <v>1250</v>
      </c>
      <c r="F7" s="2"/>
      <c r="K7" s="4" t="s">
        <v>13</v>
      </c>
      <c r="L7" s="5">
        <v>4</v>
      </c>
      <c r="M7" s="4" t="s">
        <v>13</v>
      </c>
      <c r="N7">
        <f>GETPIVOTDATA("Anos na empresa",$K$5,"Anos na empresa",6)+N6</f>
        <v>7</v>
      </c>
      <c r="O7">
        <f t="shared" ref="O7:O10" si="0">L7/$L$11</f>
        <v>0.2</v>
      </c>
    </row>
    <row r="8" spans="1:15" x14ac:dyDescent="0.25">
      <c r="A8" s="1" t="s">
        <v>5</v>
      </c>
      <c r="B8">
        <v>9</v>
      </c>
      <c r="C8">
        <v>111</v>
      </c>
      <c r="D8">
        <v>1500</v>
      </c>
      <c r="K8" s="4" t="s">
        <v>14</v>
      </c>
      <c r="L8" s="5">
        <v>5</v>
      </c>
      <c r="M8" s="4" t="s">
        <v>14</v>
      </c>
      <c r="N8">
        <f>GETPIVOTDATA("Anos na empresa",$K$5,"Anos na empresa",12)+N7</f>
        <v>12</v>
      </c>
      <c r="O8">
        <f t="shared" si="0"/>
        <v>0.25</v>
      </c>
    </row>
    <row r="9" spans="1:15" x14ac:dyDescent="0.25">
      <c r="A9" s="1" t="s">
        <v>5</v>
      </c>
      <c r="B9">
        <v>27</v>
      </c>
      <c r="C9">
        <v>202</v>
      </c>
      <c r="D9">
        <v>250</v>
      </c>
      <c r="K9" s="4" t="s">
        <v>15</v>
      </c>
      <c r="L9" s="5">
        <v>7</v>
      </c>
      <c r="M9" s="4" t="s">
        <v>15</v>
      </c>
      <c r="N9">
        <f>GETPIVOTDATA("Anos na empresa",$K$5,"Anos na empresa",18)+N8</f>
        <v>19</v>
      </c>
      <c r="O9">
        <f t="shared" si="0"/>
        <v>0.35</v>
      </c>
    </row>
    <row r="10" spans="1:15" x14ac:dyDescent="0.25">
      <c r="A10" s="1" t="s">
        <v>4</v>
      </c>
      <c r="B10">
        <v>23</v>
      </c>
      <c r="C10">
        <v>154</v>
      </c>
      <c r="D10">
        <v>2</v>
      </c>
      <c r="K10" s="4" t="s">
        <v>16</v>
      </c>
      <c r="L10" s="5">
        <v>1</v>
      </c>
      <c r="M10" s="4" t="s">
        <v>16</v>
      </c>
      <c r="N10">
        <f>GETPIVOTDATA("Anos na empresa",$K$5,"Anos na empresa",24)+N9</f>
        <v>20</v>
      </c>
      <c r="O10">
        <f t="shared" si="0"/>
        <v>0.05</v>
      </c>
    </row>
    <row r="11" spans="1:15" x14ac:dyDescent="0.25">
      <c r="A11" s="1" t="s">
        <v>4</v>
      </c>
      <c r="B11">
        <v>9</v>
      </c>
      <c r="C11">
        <v>128</v>
      </c>
      <c r="D11">
        <v>500</v>
      </c>
      <c r="K11" s="2" t="s">
        <v>10</v>
      </c>
      <c r="L11" s="5">
        <v>20</v>
      </c>
    </row>
    <row r="12" spans="1:15" x14ac:dyDescent="0.25">
      <c r="A12" s="1" t="s">
        <v>5</v>
      </c>
      <c r="B12">
        <v>19</v>
      </c>
      <c r="C12">
        <v>142</v>
      </c>
      <c r="D12">
        <v>1000</v>
      </c>
    </row>
    <row r="13" spans="1:15" x14ac:dyDescent="0.25">
      <c r="A13" s="1" t="s">
        <v>6</v>
      </c>
      <c r="B13">
        <v>15</v>
      </c>
      <c r="C13">
        <v>113</v>
      </c>
      <c r="D13">
        <v>1500</v>
      </c>
    </row>
    <row r="14" spans="1:15" x14ac:dyDescent="0.25">
      <c r="A14" s="1" t="s">
        <v>4</v>
      </c>
      <c r="B14">
        <v>12</v>
      </c>
      <c r="C14">
        <v>116</v>
      </c>
      <c r="D14">
        <v>0</v>
      </c>
    </row>
    <row r="15" spans="1:15" x14ac:dyDescent="0.25">
      <c r="A15" s="1" t="s">
        <v>5</v>
      </c>
      <c r="B15">
        <v>23</v>
      </c>
      <c r="C15">
        <v>142</v>
      </c>
      <c r="D15">
        <v>1250</v>
      </c>
    </row>
    <row r="16" spans="1:15" x14ac:dyDescent="0.25">
      <c r="A16" s="1" t="s">
        <v>6</v>
      </c>
      <c r="B16">
        <v>20</v>
      </c>
      <c r="C16">
        <v>173</v>
      </c>
      <c r="D16">
        <v>1500</v>
      </c>
    </row>
    <row r="17" spans="1:12" x14ac:dyDescent="0.25">
      <c r="A17" s="1" t="s">
        <v>5</v>
      </c>
      <c r="B17">
        <v>23</v>
      </c>
      <c r="C17">
        <v>163</v>
      </c>
      <c r="D17">
        <v>750</v>
      </c>
    </row>
    <row r="18" spans="1:12" x14ac:dyDescent="0.25">
      <c r="A18" s="1" t="s">
        <v>5</v>
      </c>
      <c r="B18">
        <v>16</v>
      </c>
      <c r="C18">
        <v>120</v>
      </c>
      <c r="D18">
        <v>1000</v>
      </c>
    </row>
    <row r="19" spans="1:12" x14ac:dyDescent="0.25">
      <c r="A19" s="1" t="s">
        <v>4</v>
      </c>
      <c r="B19">
        <v>23</v>
      </c>
      <c r="C19">
        <v>178</v>
      </c>
      <c r="D19">
        <v>1000</v>
      </c>
    </row>
    <row r="20" spans="1:12" x14ac:dyDescent="0.25">
      <c r="A20" s="1" t="s">
        <v>4</v>
      </c>
      <c r="B20">
        <v>2</v>
      </c>
      <c r="C20">
        <v>114</v>
      </c>
      <c r="D20">
        <v>500</v>
      </c>
    </row>
    <row r="21" spans="1:12" x14ac:dyDescent="0.25">
      <c r="A21" s="1" t="s">
        <v>4</v>
      </c>
      <c r="B21">
        <v>7</v>
      </c>
      <c r="C21">
        <v>115</v>
      </c>
      <c r="D21">
        <v>1250</v>
      </c>
    </row>
    <row r="32" spans="1:12" x14ac:dyDescent="0.25">
      <c r="K32" s="2"/>
      <c r="L32" s="5"/>
    </row>
    <row r="33" spans="11:12" x14ac:dyDescent="0.25">
      <c r="K33" s="2"/>
      <c r="L33" s="5"/>
    </row>
    <row r="34" spans="11:12" x14ac:dyDescent="0.25">
      <c r="K34" s="2"/>
      <c r="L34" s="5"/>
    </row>
    <row r="35" spans="11:12" x14ac:dyDescent="0.25">
      <c r="K35" s="2"/>
      <c r="L35" s="5"/>
    </row>
    <row r="36" spans="11:12" x14ac:dyDescent="0.25">
      <c r="K36" s="2"/>
      <c r="L36" s="5"/>
    </row>
    <row r="37" spans="11:12" x14ac:dyDescent="0.25">
      <c r="K37" s="2"/>
      <c r="L37" s="5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2"/>
  <ignoredErrors>
    <ignoredError sqref="M8" twoDigitTextYear="1"/>
  </ignoredError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zoomScale="170" zoomScaleNormal="170" workbookViewId="0">
      <selection activeCell="C5" sqref="C5"/>
    </sheetView>
  </sheetViews>
  <sheetFormatPr defaultRowHeight="15" x14ac:dyDescent="0.25"/>
  <cols>
    <col min="1" max="1" width="47.28515625" customWidth="1"/>
    <col min="2" max="2" width="16.28515625" customWidth="1"/>
    <col min="5" max="5" width="9.140625" customWidth="1"/>
    <col min="6" max="6" width="15.140625" customWidth="1"/>
    <col min="7" max="7" width="9.140625" customWidth="1"/>
  </cols>
  <sheetData>
    <row r="1" spans="1:16" ht="19.5" thickBot="1" x14ac:dyDescent="0.35">
      <c r="G1" s="38" t="s">
        <v>42</v>
      </c>
    </row>
    <row r="2" spans="1:16" ht="17.25" customHeight="1" thickBot="1" x14ac:dyDescent="0.3">
      <c r="A2" s="24" t="s">
        <v>32</v>
      </c>
      <c r="B2" s="25">
        <v>9</v>
      </c>
      <c r="G2" s="74" t="s">
        <v>43</v>
      </c>
      <c r="H2" s="75"/>
      <c r="I2" s="75"/>
      <c r="J2" s="75"/>
      <c r="K2" s="75"/>
      <c r="L2" s="75"/>
      <c r="M2" s="75"/>
      <c r="N2" s="75"/>
      <c r="O2" s="75"/>
      <c r="P2" s="76"/>
    </row>
    <row r="3" spans="1:16" ht="17.25" customHeight="1" thickBot="1" x14ac:dyDescent="0.3">
      <c r="A3" s="26" t="s">
        <v>33</v>
      </c>
      <c r="B3" s="27">
        <v>0.04</v>
      </c>
      <c r="G3" s="40">
        <v>15</v>
      </c>
      <c r="H3" s="41">
        <v>16</v>
      </c>
      <c r="I3" s="41">
        <v>16</v>
      </c>
      <c r="J3" s="41">
        <v>17</v>
      </c>
      <c r="K3" s="41">
        <v>17</v>
      </c>
      <c r="L3" s="41">
        <v>17</v>
      </c>
      <c r="M3" s="41">
        <v>17</v>
      </c>
      <c r="N3" s="41">
        <v>18</v>
      </c>
      <c r="O3" s="41">
        <v>18</v>
      </c>
      <c r="P3" s="41">
        <v>19</v>
      </c>
    </row>
    <row r="4" spans="1:16" ht="17.25" customHeight="1" x14ac:dyDescent="0.25">
      <c r="A4" s="28" t="s">
        <v>34</v>
      </c>
      <c r="B4" s="29">
        <v>0.03</v>
      </c>
      <c r="F4" s="39" t="s">
        <v>44</v>
      </c>
      <c r="G4" s="62">
        <f>AVERAGE(G3:P3)</f>
        <v>17</v>
      </c>
    </row>
    <row r="5" spans="1:16" ht="17.25" customHeight="1" x14ac:dyDescent="0.25">
      <c r="A5" s="26" t="s">
        <v>35</v>
      </c>
      <c r="B5" s="27">
        <v>0.25</v>
      </c>
    </row>
    <row r="6" spans="1:16" ht="17.25" customHeight="1" x14ac:dyDescent="0.25">
      <c r="A6" s="28" t="s">
        <v>36</v>
      </c>
      <c r="B6" s="29">
        <v>0.06</v>
      </c>
    </row>
    <row r="7" spans="1:16" ht="17.25" customHeight="1" x14ac:dyDescent="0.25">
      <c r="A7" s="26" t="s">
        <v>37</v>
      </c>
      <c r="B7" s="27">
        <v>0.15</v>
      </c>
    </row>
    <row r="8" spans="1:16" ht="17.25" customHeight="1" x14ac:dyDescent="0.25">
      <c r="A8" s="30" t="s">
        <v>38</v>
      </c>
      <c r="B8" s="31">
        <f>G4</f>
        <v>17</v>
      </c>
    </row>
    <row r="9" spans="1:16" ht="17.25" customHeight="1" x14ac:dyDescent="0.25">
      <c r="D9" s="72"/>
      <c r="E9" s="72"/>
      <c r="F9" s="72"/>
    </row>
    <row r="10" spans="1:16" ht="17.25" customHeight="1" x14ac:dyDescent="0.25">
      <c r="A10" s="32" t="s">
        <v>39</v>
      </c>
      <c r="B10" s="33">
        <f>1/(1-SUM(B3:B7))</f>
        <v>2.1276595744680851</v>
      </c>
      <c r="D10" s="72"/>
      <c r="E10" s="72"/>
      <c r="F10" s="72"/>
    </row>
    <row r="11" spans="1:16" ht="17.25" customHeight="1" x14ac:dyDescent="0.25">
      <c r="A11" s="34" t="s">
        <v>40</v>
      </c>
      <c r="B11" s="35">
        <f>B2*B10</f>
        <v>19.148936170212764</v>
      </c>
      <c r="D11" s="72"/>
      <c r="E11" s="72"/>
      <c r="F11" s="72"/>
    </row>
    <row r="12" spans="1:16" ht="17.25" customHeight="1" x14ac:dyDescent="0.25">
      <c r="A12" s="36" t="s">
        <v>41</v>
      </c>
      <c r="B12" s="37">
        <f>G4/B10</f>
        <v>7.99</v>
      </c>
      <c r="D12" s="73"/>
      <c r="E12" s="73"/>
      <c r="F12" s="73"/>
    </row>
  </sheetData>
  <mergeCells count="1">
    <mergeCell ref="G2:P2"/>
  </mergeCells>
  <pageMargins left="0.511811024" right="0.511811024" top="0.78740157499999996" bottom="0.78740157499999996" header="0.31496062000000002" footer="0.31496062000000002"/>
  <ignoredErrors>
    <ignoredError sqref="B10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opLeftCell="H2" zoomScale="150" zoomScaleNormal="150" workbookViewId="0">
      <selection activeCell="F7" sqref="F7"/>
    </sheetView>
  </sheetViews>
  <sheetFormatPr defaultRowHeight="15" x14ac:dyDescent="0.25"/>
  <cols>
    <col min="2" max="4" width="19.42578125" bestFit="1" customWidth="1"/>
    <col min="7" max="7" width="9.140625" customWidth="1"/>
    <col min="8" max="8" width="37.28515625" customWidth="1"/>
    <col min="9" max="9" width="18" bestFit="1" customWidth="1"/>
  </cols>
  <sheetData>
    <row r="1" spans="1:9" ht="18.75" x14ac:dyDescent="0.3">
      <c r="A1" s="10"/>
      <c r="B1" s="11" t="s">
        <v>65</v>
      </c>
      <c r="C1" s="11" t="s">
        <v>20</v>
      </c>
      <c r="D1" s="11" t="s">
        <v>21</v>
      </c>
      <c r="E1" s="12"/>
      <c r="F1" s="12"/>
      <c r="G1" s="12"/>
      <c r="H1" s="12"/>
      <c r="I1" s="13"/>
    </row>
    <row r="2" spans="1:9" ht="18.75" x14ac:dyDescent="0.3">
      <c r="A2" s="10"/>
      <c r="B2" s="12"/>
      <c r="C2" s="11"/>
      <c r="D2" s="11"/>
      <c r="E2" s="12"/>
      <c r="F2" s="12"/>
      <c r="G2" s="12"/>
      <c r="H2" s="13" t="s">
        <v>22</v>
      </c>
      <c r="I2" s="14">
        <f>C18/15</f>
        <v>1.0290666666666666</v>
      </c>
    </row>
    <row r="3" spans="1:9" ht="18.75" x14ac:dyDescent="0.3">
      <c r="A3" s="12"/>
      <c r="B3" s="19">
        <v>0.1</v>
      </c>
      <c r="C3" s="13">
        <f>ABS(B3-$I$3)</f>
        <v>1.1053333333333331</v>
      </c>
      <c r="D3" s="13">
        <f>(B3-$I$3)^2</f>
        <v>1.2217617777777772</v>
      </c>
      <c r="E3" s="12"/>
      <c r="F3" s="12"/>
      <c r="G3" s="12"/>
      <c r="H3" s="13" t="s">
        <v>23</v>
      </c>
      <c r="I3" s="15">
        <f>B18/15</f>
        <v>1.2053333333333331</v>
      </c>
    </row>
    <row r="4" spans="1:9" ht="18.75" x14ac:dyDescent="0.3">
      <c r="A4" s="12"/>
      <c r="B4" s="19">
        <v>0.1</v>
      </c>
      <c r="C4" s="13">
        <f t="shared" ref="C4:C17" si="0">ABS(B4-$I$3)</f>
        <v>1.1053333333333331</v>
      </c>
      <c r="D4" s="13">
        <f t="shared" ref="D4:D17" si="1">(B4-$I$3)^2</f>
        <v>1.2217617777777772</v>
      </c>
      <c r="E4" s="12"/>
      <c r="F4" s="12"/>
      <c r="G4" s="12"/>
      <c r="H4" s="13" t="s">
        <v>24</v>
      </c>
      <c r="I4" s="16">
        <f>SQRT(I6)</f>
        <v>1.2783408145307877</v>
      </c>
    </row>
    <row r="5" spans="1:9" ht="18.75" x14ac:dyDescent="0.3">
      <c r="A5" s="12"/>
      <c r="B5" s="19">
        <v>0.25</v>
      </c>
      <c r="C5" s="13">
        <f t="shared" si="0"/>
        <v>0.95533333333333315</v>
      </c>
      <c r="D5" s="13">
        <f t="shared" si="1"/>
        <v>0.91266177777777746</v>
      </c>
      <c r="E5" s="12"/>
      <c r="F5" s="12"/>
      <c r="G5" s="12"/>
      <c r="H5" s="13" t="s">
        <v>25</v>
      </c>
      <c r="I5" s="17">
        <f>I4/I3</f>
        <v>1.0605703660377113</v>
      </c>
    </row>
    <row r="6" spans="1:9" ht="18.75" x14ac:dyDescent="0.3">
      <c r="A6" s="12"/>
      <c r="B6" s="19">
        <v>0.25</v>
      </c>
      <c r="C6" s="13">
        <f t="shared" si="0"/>
        <v>0.95533333333333315</v>
      </c>
      <c r="D6" s="13">
        <f t="shared" si="1"/>
        <v>0.91266177777777746</v>
      </c>
      <c r="E6" s="12"/>
      <c r="F6" s="12"/>
      <c r="G6" s="12"/>
      <c r="H6" s="13" t="s">
        <v>26</v>
      </c>
      <c r="I6" s="13">
        <f>D18/14</f>
        <v>1.6341552380952378</v>
      </c>
    </row>
    <row r="7" spans="1:9" ht="18.75" x14ac:dyDescent="0.3">
      <c r="A7" s="12"/>
      <c r="B7" s="19">
        <v>0.25</v>
      </c>
      <c r="C7" s="13">
        <f t="shared" si="0"/>
        <v>0.95533333333333315</v>
      </c>
      <c r="D7" s="13">
        <f t="shared" si="1"/>
        <v>0.91266177777777746</v>
      </c>
      <c r="E7" s="12"/>
      <c r="F7" s="12"/>
      <c r="G7" s="12"/>
      <c r="H7" s="12"/>
      <c r="I7" s="13"/>
    </row>
    <row r="8" spans="1:9" ht="18.75" x14ac:dyDescent="0.3">
      <c r="A8" s="12"/>
      <c r="B8" s="19">
        <v>0.35</v>
      </c>
      <c r="C8" s="13">
        <f t="shared" si="0"/>
        <v>0.85533333333333317</v>
      </c>
      <c r="D8" s="13">
        <f t="shared" si="1"/>
        <v>0.73159511111111086</v>
      </c>
      <c r="E8" s="12"/>
      <c r="F8" s="12"/>
      <c r="G8" s="12"/>
      <c r="H8" s="12"/>
      <c r="I8" s="13"/>
    </row>
    <row r="9" spans="1:9" ht="18.75" x14ac:dyDescent="0.3">
      <c r="A9" s="12"/>
      <c r="B9" s="19">
        <v>0.4</v>
      </c>
      <c r="C9" s="13">
        <f t="shared" si="0"/>
        <v>0.80533333333333312</v>
      </c>
      <c r="D9" s="13">
        <f t="shared" si="1"/>
        <v>0.64856177777777746</v>
      </c>
      <c r="E9" s="12"/>
      <c r="F9" s="12"/>
      <c r="G9" s="12"/>
      <c r="H9" s="12"/>
      <c r="I9" s="13"/>
    </row>
    <row r="10" spans="1:9" ht="18.75" x14ac:dyDescent="0.3">
      <c r="A10" s="12"/>
      <c r="B10" s="19">
        <v>0.53</v>
      </c>
      <c r="C10" s="13">
        <f t="shared" si="0"/>
        <v>0.67533333333333312</v>
      </c>
      <c r="D10" s="13">
        <f t="shared" si="1"/>
        <v>0.45607511111111082</v>
      </c>
      <c r="E10" s="12"/>
      <c r="F10" s="12"/>
      <c r="G10" s="12"/>
      <c r="H10" s="12"/>
      <c r="I10" s="13"/>
    </row>
    <row r="11" spans="1:9" ht="18.75" x14ac:dyDescent="0.3">
      <c r="A11" s="12"/>
      <c r="B11" s="19">
        <v>0.9</v>
      </c>
      <c r="C11" s="13">
        <f t="shared" si="0"/>
        <v>0.30533333333333312</v>
      </c>
      <c r="D11" s="13">
        <f t="shared" si="1"/>
        <v>9.3228444444444322E-2</v>
      </c>
      <c r="E11" s="12"/>
      <c r="F11" s="12"/>
      <c r="G11" s="12"/>
      <c r="H11" s="12"/>
      <c r="I11" s="13"/>
    </row>
    <row r="12" spans="1:9" ht="18.75" x14ac:dyDescent="0.3">
      <c r="A12" s="12"/>
      <c r="B12" s="19">
        <v>1.25</v>
      </c>
      <c r="C12" s="13">
        <f t="shared" si="0"/>
        <v>4.4666666666666854E-2</v>
      </c>
      <c r="D12" s="13">
        <f t="shared" si="1"/>
        <v>1.995111111111128E-3</v>
      </c>
      <c r="E12" s="12"/>
      <c r="F12" s="12"/>
      <c r="G12" s="12"/>
      <c r="H12" s="12"/>
      <c r="I12" s="13"/>
    </row>
    <row r="13" spans="1:9" ht="18.75" x14ac:dyDescent="0.3">
      <c r="A13" s="12"/>
      <c r="B13" s="19">
        <v>1.35</v>
      </c>
      <c r="C13" s="13">
        <f t="shared" si="0"/>
        <v>0.14466666666666694</v>
      </c>
      <c r="D13" s="13">
        <f t="shared" si="1"/>
        <v>2.0928444444444524E-2</v>
      </c>
      <c r="E13" s="12"/>
      <c r="F13" s="12"/>
      <c r="G13" s="12"/>
      <c r="H13" s="12"/>
      <c r="I13" s="13"/>
    </row>
    <row r="14" spans="1:9" ht="18.75" x14ac:dyDescent="0.3">
      <c r="A14" s="12"/>
      <c r="B14" s="19">
        <v>2.4500000000000002</v>
      </c>
      <c r="C14" s="13">
        <f t="shared" si="0"/>
        <v>1.244666666666667</v>
      </c>
      <c r="D14" s="13">
        <f t="shared" si="1"/>
        <v>1.549195111111112</v>
      </c>
      <c r="E14" s="12"/>
      <c r="F14" s="12"/>
      <c r="G14" s="12"/>
      <c r="H14" s="12"/>
      <c r="I14" s="13"/>
    </row>
    <row r="15" spans="1:9" ht="18.75" x14ac:dyDescent="0.3">
      <c r="A15" s="12"/>
      <c r="B15" s="19">
        <v>2.71</v>
      </c>
      <c r="C15" s="13">
        <f t="shared" si="0"/>
        <v>1.5046666666666668</v>
      </c>
      <c r="D15" s="13">
        <f t="shared" si="1"/>
        <v>2.2640217777777782</v>
      </c>
      <c r="E15" s="12"/>
      <c r="F15" s="12"/>
      <c r="G15" s="12"/>
      <c r="H15" s="12"/>
      <c r="I15" s="13"/>
    </row>
    <row r="16" spans="1:9" ht="18.75" x14ac:dyDescent="0.3">
      <c r="A16" s="12"/>
      <c r="B16" s="19">
        <v>3.09</v>
      </c>
      <c r="C16" s="13">
        <f t="shared" si="0"/>
        <v>1.8846666666666667</v>
      </c>
      <c r="D16" s="13">
        <f t="shared" si="1"/>
        <v>3.5519684444444448</v>
      </c>
      <c r="E16" s="12"/>
      <c r="F16" s="12"/>
      <c r="G16" s="12"/>
      <c r="H16" s="12"/>
      <c r="I16" s="13"/>
    </row>
    <row r="17" spans="1:9" ht="18.75" x14ac:dyDescent="0.3">
      <c r="A17" s="12"/>
      <c r="B17" s="19">
        <v>4.0999999999999996</v>
      </c>
      <c r="C17" s="13">
        <f t="shared" si="0"/>
        <v>2.8946666666666667</v>
      </c>
      <c r="D17" s="13">
        <f t="shared" si="1"/>
        <v>8.3790951111111109</v>
      </c>
      <c r="E17" s="12"/>
      <c r="F17" s="12"/>
      <c r="G17" s="12"/>
      <c r="H17" s="12"/>
      <c r="I17" s="13"/>
    </row>
    <row r="18" spans="1:9" ht="18.75" x14ac:dyDescent="0.3">
      <c r="A18" s="59" t="s">
        <v>7</v>
      </c>
      <c r="B18" s="18">
        <f>SUM(B3:B17)</f>
        <v>18.079999999999998</v>
      </c>
      <c r="C18" s="58">
        <f>SUM(C3:C17)</f>
        <v>15.436</v>
      </c>
      <c r="D18" s="60">
        <f>SUM(D3:D17)</f>
        <v>22.878173333333329</v>
      </c>
      <c r="E18" s="12"/>
      <c r="F18" s="12"/>
      <c r="G18" s="12"/>
      <c r="H18" s="12"/>
      <c r="I18" s="1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3"/>
  <sheetViews>
    <sheetView topLeftCell="A8" zoomScale="170" zoomScaleNormal="170" workbookViewId="0">
      <selection activeCell="B16" sqref="B16"/>
    </sheetView>
  </sheetViews>
  <sheetFormatPr defaultRowHeight="15" x14ac:dyDescent="0.25"/>
  <cols>
    <col min="1" max="1" width="36" customWidth="1"/>
    <col min="7" max="7" width="21.85546875" customWidth="1"/>
    <col min="8" max="8" width="49.140625" customWidth="1"/>
  </cols>
  <sheetData>
    <row r="1" spans="1:8" x14ac:dyDescent="0.25">
      <c r="A1" s="9"/>
    </row>
    <row r="2" spans="1:8" ht="18.75" x14ac:dyDescent="0.3">
      <c r="A2" s="20" t="s">
        <v>27</v>
      </c>
      <c r="B2" s="71">
        <v>1</v>
      </c>
      <c r="C2" s="71">
        <v>2</v>
      </c>
      <c r="D2" s="71">
        <v>3</v>
      </c>
      <c r="E2" s="71">
        <v>4</v>
      </c>
      <c r="F2" s="71">
        <v>5</v>
      </c>
    </row>
    <row r="3" spans="1:8" x14ac:dyDescent="0.25">
      <c r="A3" s="21">
        <v>1</v>
      </c>
      <c r="B3" s="63">
        <v>1</v>
      </c>
      <c r="C3" s="64">
        <v>1</v>
      </c>
      <c r="D3" s="65">
        <v>1</v>
      </c>
      <c r="E3" s="66">
        <v>1</v>
      </c>
      <c r="F3" s="67">
        <v>1</v>
      </c>
      <c r="H3" s="21">
        <f>SUM(B3:F3)</f>
        <v>5</v>
      </c>
    </row>
    <row r="4" spans="1:8" x14ac:dyDescent="0.25">
      <c r="A4" s="21">
        <v>2</v>
      </c>
      <c r="B4" s="63">
        <v>1</v>
      </c>
      <c r="C4" s="64">
        <v>1</v>
      </c>
      <c r="D4" s="65">
        <v>1</v>
      </c>
      <c r="E4" s="66">
        <v>1</v>
      </c>
      <c r="F4" s="67">
        <v>0</v>
      </c>
      <c r="H4" s="21">
        <f t="shared" ref="H4:H12" si="0">SUM(B4:F4)</f>
        <v>4</v>
      </c>
    </row>
    <row r="5" spans="1:8" x14ac:dyDescent="0.25">
      <c r="A5" s="21">
        <v>3</v>
      </c>
      <c r="B5" s="63">
        <v>1</v>
      </c>
      <c r="C5" s="64">
        <v>1</v>
      </c>
      <c r="D5" s="65">
        <v>1</v>
      </c>
      <c r="E5" s="66">
        <v>0</v>
      </c>
      <c r="F5" s="67">
        <v>1</v>
      </c>
      <c r="H5" s="21">
        <f t="shared" si="0"/>
        <v>4</v>
      </c>
    </row>
    <row r="6" spans="1:8" x14ac:dyDescent="0.25">
      <c r="A6" s="21">
        <v>4</v>
      </c>
      <c r="B6" s="63">
        <v>1</v>
      </c>
      <c r="C6" s="64">
        <v>1</v>
      </c>
      <c r="D6" s="65">
        <v>0</v>
      </c>
      <c r="E6" s="66">
        <v>1</v>
      </c>
      <c r="F6" s="67">
        <v>0</v>
      </c>
      <c r="H6" s="21">
        <f t="shared" si="0"/>
        <v>3</v>
      </c>
    </row>
    <row r="7" spans="1:8" x14ac:dyDescent="0.25">
      <c r="A7" s="21">
        <v>5</v>
      </c>
      <c r="B7" s="63">
        <v>1</v>
      </c>
      <c r="C7" s="64">
        <v>1</v>
      </c>
      <c r="D7" s="65">
        <v>1</v>
      </c>
      <c r="E7" s="66">
        <v>0</v>
      </c>
      <c r="F7" s="67">
        <v>0</v>
      </c>
      <c r="H7" s="21">
        <f t="shared" si="0"/>
        <v>3</v>
      </c>
    </row>
    <row r="8" spans="1:8" x14ac:dyDescent="0.25">
      <c r="A8" s="21">
        <v>6</v>
      </c>
      <c r="B8" s="63">
        <v>1</v>
      </c>
      <c r="C8" s="64">
        <v>1</v>
      </c>
      <c r="D8" s="65">
        <v>0</v>
      </c>
      <c r="E8" s="66">
        <v>0</v>
      </c>
      <c r="F8" s="67">
        <v>1</v>
      </c>
      <c r="H8" s="21">
        <f t="shared" si="0"/>
        <v>3</v>
      </c>
    </row>
    <row r="9" spans="1:8" x14ac:dyDescent="0.25">
      <c r="A9" s="21">
        <v>7</v>
      </c>
      <c r="B9" s="63">
        <v>1</v>
      </c>
      <c r="C9" s="64">
        <v>1</v>
      </c>
      <c r="D9" s="65">
        <v>0</v>
      </c>
      <c r="E9" s="66">
        <v>0</v>
      </c>
      <c r="F9" s="67">
        <v>0</v>
      </c>
      <c r="H9" s="21">
        <f t="shared" si="0"/>
        <v>2</v>
      </c>
    </row>
    <row r="10" spans="1:8" x14ac:dyDescent="0.25">
      <c r="A10" s="21">
        <v>8</v>
      </c>
      <c r="B10" s="63">
        <v>0</v>
      </c>
      <c r="C10" s="64">
        <v>1</v>
      </c>
      <c r="D10" s="65">
        <v>1</v>
      </c>
      <c r="E10" s="66">
        <v>0</v>
      </c>
      <c r="F10" s="67">
        <v>0</v>
      </c>
      <c r="H10" s="21">
        <f t="shared" si="0"/>
        <v>2</v>
      </c>
    </row>
    <row r="11" spans="1:8" x14ac:dyDescent="0.25">
      <c r="A11" s="21">
        <v>9</v>
      </c>
      <c r="B11" s="63">
        <v>1</v>
      </c>
      <c r="C11" s="64">
        <v>0</v>
      </c>
      <c r="D11" s="65">
        <v>1</v>
      </c>
      <c r="E11" s="66">
        <v>0</v>
      </c>
      <c r="F11" s="67">
        <v>0</v>
      </c>
      <c r="H11" s="21">
        <f t="shared" si="0"/>
        <v>2</v>
      </c>
    </row>
    <row r="12" spans="1:8" x14ac:dyDescent="0.25">
      <c r="A12" s="21">
        <v>10</v>
      </c>
      <c r="B12" s="63">
        <v>1</v>
      </c>
      <c r="C12" s="64">
        <v>0</v>
      </c>
      <c r="D12" s="65">
        <v>0</v>
      </c>
      <c r="E12" s="66">
        <v>0</v>
      </c>
      <c r="F12" s="67">
        <v>0</v>
      </c>
      <c r="H12" s="21">
        <f t="shared" si="0"/>
        <v>1</v>
      </c>
    </row>
    <row r="13" spans="1:8" ht="75.75" x14ac:dyDescent="0.3">
      <c r="A13" s="21" t="s">
        <v>28</v>
      </c>
      <c r="B13" s="68">
        <f>AVERAGE(B3:B12)</f>
        <v>0.9</v>
      </c>
      <c r="C13" s="68">
        <f t="shared" ref="C13:F13" si="1">AVERAGE(C3:C12)</f>
        <v>0.8</v>
      </c>
      <c r="D13" s="68">
        <f t="shared" si="1"/>
        <v>0.6</v>
      </c>
      <c r="E13" s="68">
        <f t="shared" si="1"/>
        <v>0.3</v>
      </c>
      <c r="F13" s="68">
        <f t="shared" si="1"/>
        <v>0.3</v>
      </c>
      <c r="G13" s="23" t="s">
        <v>29</v>
      </c>
      <c r="H13" s="1">
        <f>_xlfn.VAR.S(H3:H12)</f>
        <v>1.433333333333334</v>
      </c>
    </row>
    <row r="14" spans="1:8" ht="18.75" x14ac:dyDescent="0.3">
      <c r="A14" s="21" t="s">
        <v>30</v>
      </c>
      <c r="B14" s="22">
        <f>_xlfn.VAR.S(B3:B12)</f>
        <v>0.10000000000000003</v>
      </c>
      <c r="C14" s="22">
        <f t="shared" ref="C14:F14" si="2">_xlfn.VAR.S(C3:C12)</f>
        <v>0.17777777777777773</v>
      </c>
      <c r="D14" s="22">
        <f t="shared" si="2"/>
        <v>0.26666666666666666</v>
      </c>
      <c r="E14" s="22">
        <f t="shared" si="2"/>
        <v>0.23333333333333334</v>
      </c>
      <c r="F14" s="22">
        <f t="shared" si="2"/>
        <v>0.23333333333333334</v>
      </c>
    </row>
    <row r="15" spans="1:8" ht="19.5" thickBot="1" x14ac:dyDescent="0.35">
      <c r="A15" s="1" t="s">
        <v>31</v>
      </c>
      <c r="B15" s="22">
        <f>SUM(B14:F14)</f>
        <v>1.0111111111111113</v>
      </c>
    </row>
    <row r="16" spans="1:8" ht="20.25" thickTop="1" thickBot="1" x14ac:dyDescent="0.35">
      <c r="A16" s="69" t="s">
        <v>66</v>
      </c>
      <c r="B16" s="70">
        <f>5/4*(1-B15/H13)</f>
        <v>0.3682170542635661</v>
      </c>
    </row>
    <row r="17" spans="2:4" ht="15.75" thickTop="1" x14ac:dyDescent="0.25">
      <c r="B17" s="61"/>
      <c r="C17" s="61"/>
      <c r="D17" s="61"/>
    </row>
    <row r="18" spans="2:4" x14ac:dyDescent="0.25">
      <c r="B18" s="61"/>
      <c r="C18" s="61"/>
      <c r="D18" s="61"/>
    </row>
    <row r="19" spans="2:4" x14ac:dyDescent="0.25">
      <c r="B19" s="61"/>
      <c r="C19" s="61"/>
      <c r="D19" s="61"/>
    </row>
    <row r="20" spans="2:4" x14ac:dyDescent="0.25">
      <c r="B20" s="61"/>
      <c r="C20" s="61"/>
      <c r="D20" s="61"/>
    </row>
    <row r="21" spans="2:4" x14ac:dyDescent="0.25">
      <c r="B21" s="61"/>
      <c r="C21" s="61"/>
      <c r="D21" s="61"/>
    </row>
    <row r="22" spans="2:4" x14ac:dyDescent="0.25">
      <c r="B22" s="61"/>
      <c r="C22" s="61"/>
      <c r="D22" s="61"/>
    </row>
    <row r="23" spans="2:4" x14ac:dyDescent="0.25">
      <c r="B23" s="61"/>
      <c r="C23" s="61"/>
      <c r="D23" s="61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G13 B13:F13 B14:F14 H3:H12" formulaRange="1"/>
  </ignoredErrors>
  <drawing r:id="rId2"/>
  <legacyDrawing r:id="rId3"/>
  <oleObjects>
    <mc:AlternateContent xmlns:mc="http://schemas.openxmlformats.org/markup-compatibility/2006">
      <mc:Choice Requires="x14">
        <oleObject progId="Equation.DSMT4" shapeId="1025" r:id="rId4">
          <objectPr defaultSize="0" autoPict="0" r:id="rId5">
            <anchor moveWithCells="1" sizeWithCells="1">
              <from>
                <xdr:col>13</xdr:col>
                <xdr:colOff>85725</xdr:colOff>
                <xdr:row>12</xdr:row>
                <xdr:rowOff>638175</xdr:rowOff>
              </from>
              <to>
                <xdr:col>15</xdr:col>
                <xdr:colOff>171450</xdr:colOff>
                <xdr:row>14</xdr:row>
                <xdr:rowOff>219075</xdr:rowOff>
              </to>
            </anchor>
          </objectPr>
        </oleObject>
      </mc:Choice>
      <mc:Fallback>
        <oleObject progId="Equation.DSMT4" shapeId="1025" r:id="rId4"/>
      </mc:Fallback>
    </mc:AlternateContent>
    <mc:AlternateContent xmlns:mc="http://schemas.openxmlformats.org/markup-compatibility/2006">
      <mc:Choice Requires="x14">
        <oleObject progId="Equation.DSMT4" shapeId="1026" r:id="rId6">
          <objectPr defaultSize="0" autoPict="0" r:id="rId5">
            <anchor moveWithCells="1" sizeWithCells="1">
              <from>
                <xdr:col>0</xdr:col>
                <xdr:colOff>2362200</xdr:colOff>
                <xdr:row>16</xdr:row>
                <xdr:rowOff>152400</xdr:rowOff>
              </from>
              <to>
                <xdr:col>3</xdr:col>
                <xdr:colOff>314325</xdr:colOff>
                <xdr:row>22</xdr:row>
                <xdr:rowOff>47625</xdr:rowOff>
              </to>
            </anchor>
          </objectPr>
        </oleObject>
      </mc:Choice>
      <mc:Fallback>
        <oleObject progId="Equation.DSMT4" shapeId="1026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Pesquisa Qualitativa</vt:lpstr>
      <vt:lpstr>Histograma - Ogiva</vt:lpstr>
      <vt:lpstr>Precificação</vt:lpstr>
      <vt:lpstr>Medidas de Dispersão</vt:lpstr>
      <vt:lpstr>Alfa de Cronbach</vt:lpstr>
    </vt:vector>
  </TitlesOfParts>
  <Company>Particular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Pinheiro</dc:creator>
  <cp:lastModifiedBy>ss</cp:lastModifiedBy>
  <dcterms:created xsi:type="dcterms:W3CDTF">2012-03-05T19:31:32Z</dcterms:created>
  <dcterms:modified xsi:type="dcterms:W3CDTF">2022-02-25T22:47:54Z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65ef6202-748e-4203-a9f5-0f87a8d9d509</vt:lpwstr>
  </property>
</Properties>
</file>