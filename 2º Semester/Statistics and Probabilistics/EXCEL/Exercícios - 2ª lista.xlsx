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5.xml" ContentType="application/vnd.openxmlformats-officedocument.drawing+xml"/>
  <Override PartName="/xl/embeddings/oleObject7.bin" ContentType="application/vnd.openxmlformats-officedocument.oleObject"/>
  <Override PartName="/xl/drawings/drawing6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drawings/drawing7.xml" ContentType="application/vnd.openxmlformats-officedocument.drawing+xml"/>
  <Override PartName="/xl/drawings/drawing8.xml" ContentType="application/vnd.openxmlformats-officedocument.drawing+xml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us documentos\Faculdades e Colégio\Exercicios\UniCEUB\Faculdade\Curso Administração\Estatística e Métodos Quantitativos\EXCEL\"/>
    </mc:Choice>
  </mc:AlternateContent>
  <bookViews>
    <workbookView xWindow="240" yWindow="90" windowWidth="15120" windowHeight="7755" firstSheet="6" activeTab="7"/>
  </bookViews>
  <sheets>
    <sheet name="Valor Esperado" sheetId="1" r:id="rId1"/>
    <sheet name="Distribuição Normal" sheetId="2" r:id="rId2"/>
    <sheet name="Amostragem da Média" sheetId="3" r:id="rId3"/>
    <sheet name="TAMANHO - AMOSTRA" sheetId="7" r:id="rId4"/>
    <sheet name="Intervalo de Confiança" sheetId="4" r:id="rId5"/>
    <sheet name="ESTOQUE DE SEGURANÇA" sheetId="5" r:id="rId6"/>
    <sheet name="LEI DE NEWCOMB-BENFORD" sheetId="6" r:id="rId7"/>
    <sheet name="O Aprendiz" sheetId="8" r:id="rId8"/>
  </sheets>
  <calcPr calcId="152511"/>
</workbook>
</file>

<file path=xl/calcChain.xml><?xml version="1.0" encoding="utf-8"?>
<calcChain xmlns="http://schemas.openxmlformats.org/spreadsheetml/2006/main">
  <c r="G3" i="8" l="1"/>
  <c r="G4" i="8" s="1"/>
  <c r="D3" i="8"/>
  <c r="D4" i="8" s="1"/>
  <c r="D5" i="8" s="1"/>
  <c r="D6" i="8" s="1"/>
  <c r="D7" i="8" s="1"/>
  <c r="D8" i="8" s="1"/>
  <c r="D9" i="8" s="1"/>
  <c r="D10" i="8" s="1"/>
  <c r="D11" i="8" s="1"/>
  <c r="G2" i="8"/>
  <c r="G5" i="8" l="1"/>
  <c r="G8" i="8" s="1"/>
  <c r="G9" i="8" s="1"/>
  <c r="G10" i="8" s="1"/>
  <c r="G6" i="8"/>
  <c r="C3" i="6"/>
  <c r="C4" i="6"/>
  <c r="C5" i="6"/>
  <c r="C6" i="6"/>
  <c r="C7" i="6"/>
  <c r="C8" i="6"/>
  <c r="C9" i="6"/>
  <c r="C10" i="6"/>
  <c r="C2" i="6"/>
  <c r="B3" i="4" l="1"/>
  <c r="I25" i="5"/>
  <c r="A3" i="4"/>
  <c r="C29" i="7" l="1"/>
  <c r="C21" i="7"/>
  <c r="C14" i="7"/>
  <c r="D14" i="7"/>
  <c r="E14" i="7"/>
  <c r="F14" i="7"/>
  <c r="B14" i="7"/>
  <c r="C13" i="7"/>
  <c r="D13" i="7"/>
  <c r="E13" i="7"/>
  <c r="F13" i="7"/>
  <c r="B13" i="7"/>
  <c r="B12" i="7"/>
  <c r="C12" i="7"/>
  <c r="D12" i="7"/>
  <c r="E12" i="7"/>
  <c r="F12" i="7"/>
  <c r="C5" i="1" l="1"/>
  <c r="C6" i="1"/>
  <c r="C7" i="1"/>
  <c r="C8" i="1"/>
  <c r="C9" i="1"/>
  <c r="C10" i="1"/>
  <c r="C11" i="1"/>
  <c r="C12" i="1"/>
  <c r="C13" i="1"/>
  <c r="C14" i="1"/>
  <c r="C4" i="1"/>
  <c r="C15" i="1" l="1"/>
  <c r="D11" i="1" s="1"/>
  <c r="L17" i="3"/>
  <c r="L12" i="3"/>
  <c r="G21" i="3"/>
  <c r="G16" i="3"/>
  <c r="G17" i="3"/>
  <c r="G18" i="3"/>
  <c r="G19" i="3"/>
  <c r="G20" i="3"/>
  <c r="G15" i="3"/>
  <c r="L9" i="3"/>
  <c r="E21" i="3"/>
  <c r="E16" i="3"/>
  <c r="E17" i="3"/>
  <c r="E18" i="3"/>
  <c r="E19" i="3"/>
  <c r="E20" i="3"/>
  <c r="E15" i="3"/>
  <c r="L6" i="3"/>
  <c r="L4" i="3"/>
  <c r="D7" i="3"/>
  <c r="D4" i="3"/>
  <c r="D5" i="3"/>
  <c r="D6" i="3"/>
  <c r="D3" i="3"/>
  <c r="L2" i="3"/>
  <c r="B7" i="3"/>
  <c r="D4" i="1" l="1"/>
  <c r="D15" i="1" s="1"/>
  <c r="S8" i="1" s="1"/>
  <c r="D14" i="1"/>
  <c r="D5" i="1"/>
  <c r="D8" i="1"/>
  <c r="D13" i="1"/>
  <c r="D9" i="1"/>
  <c r="D12" i="1"/>
  <c r="D6" i="1"/>
  <c r="D7" i="1"/>
  <c r="D10" i="1"/>
  <c r="A4" i="7"/>
  <c r="A5" i="7" s="1"/>
  <c r="A6" i="7" s="1"/>
  <c r="A7" i="7" s="1"/>
  <c r="A8" i="7" s="1"/>
  <c r="A9" i="7" s="1"/>
  <c r="A10" i="7" s="1"/>
  <c r="A11" i="7" s="1"/>
  <c r="A3" i="7"/>
  <c r="M4" i="1"/>
  <c r="M5" i="1"/>
  <c r="M6" i="1"/>
  <c r="M7" i="1"/>
  <c r="M8" i="1"/>
  <c r="M15" i="1" s="1"/>
  <c r="N4" i="1" s="1"/>
  <c r="M9" i="1"/>
  <c r="M10" i="1"/>
  <c r="M11" i="1"/>
  <c r="M12" i="1"/>
  <c r="M13" i="1"/>
  <c r="M14" i="1"/>
  <c r="N10" i="1" l="1"/>
  <c r="N9" i="1"/>
  <c r="N5" i="1"/>
  <c r="N11" i="1"/>
  <c r="N7" i="1"/>
  <c r="N14" i="1"/>
  <c r="N6" i="1"/>
  <c r="N13" i="1"/>
  <c r="N12" i="1"/>
  <c r="N8" i="1"/>
  <c r="N15" i="1" l="1"/>
  <c r="S9" i="1" s="1"/>
  <c r="B18" i="5"/>
  <c r="F18" i="5"/>
  <c r="G3" i="5" l="1"/>
  <c r="G4" i="5"/>
  <c r="G5" i="5"/>
  <c r="G6" i="5"/>
  <c r="G7" i="5"/>
  <c r="G8" i="5"/>
  <c r="G9" i="5"/>
  <c r="G10" i="5"/>
  <c r="G11" i="5"/>
  <c r="G12" i="5"/>
  <c r="G13" i="5"/>
  <c r="G2" i="5"/>
  <c r="F14" i="5"/>
  <c r="C3" i="5"/>
  <c r="C4" i="5"/>
  <c r="C5" i="5"/>
  <c r="C6" i="5"/>
  <c r="C7" i="5"/>
  <c r="C8" i="5"/>
  <c r="C9" i="5"/>
  <c r="C10" i="5"/>
  <c r="C11" i="5"/>
  <c r="C12" i="5"/>
  <c r="C13" i="5"/>
  <c r="C2" i="5"/>
  <c r="B14" i="5"/>
  <c r="F2" i="6"/>
  <c r="F3" i="6"/>
  <c r="F4" i="6"/>
  <c r="F5" i="6"/>
  <c r="F6" i="6"/>
  <c r="F7" i="6"/>
  <c r="F8" i="6"/>
  <c r="F9" i="6"/>
  <c r="F10" i="6"/>
  <c r="E3" i="6"/>
  <c r="E4" i="6"/>
  <c r="E5" i="6"/>
  <c r="E6" i="6"/>
  <c r="E7" i="6"/>
  <c r="E8" i="6"/>
  <c r="E9" i="6"/>
  <c r="E10" i="6"/>
  <c r="E2" i="6"/>
  <c r="B3" i="6"/>
  <c r="B4" i="6"/>
  <c r="B5" i="6"/>
  <c r="B6" i="6"/>
  <c r="B7" i="6"/>
  <c r="B8" i="6"/>
  <c r="B9" i="6"/>
  <c r="B10" i="6"/>
  <c r="B2" i="6"/>
  <c r="A4" i="6"/>
  <c r="A5" i="6"/>
  <c r="A6" i="6" s="1"/>
  <c r="A7" i="6" s="1"/>
  <c r="A8" i="6" s="1"/>
  <c r="A9" i="6" s="1"/>
  <c r="A10" i="6" s="1"/>
  <c r="A3" i="6"/>
  <c r="G14" i="5" l="1"/>
  <c r="F19" i="5" s="1"/>
  <c r="C14" i="5"/>
  <c r="B19" i="5" s="1"/>
  <c r="B20" i="5" s="1"/>
  <c r="F20" i="5" l="1"/>
  <c r="A42" i="2"/>
  <c r="A30" i="2"/>
  <c r="A15" i="2"/>
  <c r="A2" i="2"/>
</calcChain>
</file>

<file path=xl/sharedStrings.xml><?xml version="1.0" encoding="utf-8"?>
<sst xmlns="http://schemas.openxmlformats.org/spreadsheetml/2006/main" count="94" uniqueCount="68">
  <si>
    <t>A</t>
  </si>
  <si>
    <t>B</t>
  </si>
  <si>
    <t>Total</t>
  </si>
  <si>
    <t>Desvio Padrão</t>
  </si>
  <si>
    <t>PROBABILIDADE P(X)</t>
  </si>
  <si>
    <t>PERDA X</t>
  </si>
  <si>
    <t xml:space="preserve"> P(X).X</t>
  </si>
  <si>
    <t xml:space="preserve"> P(X)(X-E(X))^2</t>
  </si>
  <si>
    <t>Valor esperado E(X)</t>
  </si>
  <si>
    <t>Distribuição Normal Padronizada</t>
  </si>
  <si>
    <t>Médias</t>
  </si>
  <si>
    <t>(xi-mgeral)^2</t>
  </si>
  <si>
    <t>3;5</t>
  </si>
  <si>
    <t>3;7</t>
  </si>
  <si>
    <t>3;8</t>
  </si>
  <si>
    <t>5;7</t>
  </si>
  <si>
    <t>5;8</t>
  </si>
  <si>
    <t>7;8</t>
  </si>
  <si>
    <t>TOTAL</t>
  </si>
  <si>
    <t>Mês</t>
  </si>
  <si>
    <t>Quantidade mensal produzida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</si>
  <si>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</si>
  <si>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</si>
  <si>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</si>
  <si>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</si>
  <si>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</si>
  <si>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</si>
  <si>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</si>
  <si>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</si>
  <si>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</si>
  <si>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</si>
  <si>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</si>
  <si>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</si>
  <si>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Tempo para entrega de matéria-prima</t>
  </si>
  <si>
    <t>MÉDIA</t>
  </si>
  <si>
    <t>VARIÂNCIA</t>
  </si>
  <si>
    <t>DESVIO PADRÃO</t>
  </si>
  <si>
    <t>ESTOQUE DE SEGURANÇA</t>
  </si>
  <si>
    <t>DÍGITO</t>
  </si>
  <si>
    <t>PROBABILIDADE ESPERADA</t>
  </si>
  <si>
    <t>FREQUÊNCIA OBSERVADA</t>
  </si>
  <si>
    <t>PROBABILIDADE OBSERVADA</t>
  </si>
  <si>
    <t>zcalc</t>
  </si>
  <si>
    <t>1ª QUESTÃO</t>
  </si>
  <si>
    <t>2ª QUESTÃO</t>
  </si>
  <si>
    <t>3ª QUESTÃO</t>
  </si>
  <si>
    <t>4ª QUESTÃO</t>
  </si>
  <si>
    <t>5ª QUESTÃO</t>
  </si>
  <si>
    <t>DESVIO PADRÃO DO QUESTIONÁRIO</t>
  </si>
  <si>
    <t>TAMANHO DA AMOSTRA</t>
  </si>
  <si>
    <t>Respondentes</t>
  </si>
  <si>
    <t>Peso Estatístico</t>
  </si>
  <si>
    <t>MÉDIA POPULACIONAL</t>
  </si>
  <si>
    <t>VARIÂNCIA POPULACIONAL</t>
  </si>
  <si>
    <t>DESVIO PADRÃO POPULACIONAL</t>
  </si>
  <si>
    <t>n</t>
  </si>
  <si>
    <t>FREQUÊNCIA ESPERADA</t>
  </si>
  <si>
    <t>DIA</t>
  </si>
  <si>
    <t>PREÇO</t>
  </si>
  <si>
    <t>Média</t>
  </si>
  <si>
    <t>Variância Amostral</t>
  </si>
  <si>
    <t>s</t>
  </si>
  <si>
    <t>Mínimo</t>
  </si>
  <si>
    <t>Máximo</t>
  </si>
  <si>
    <t>Capital</t>
  </si>
  <si>
    <t>Número de ações compradas</t>
  </si>
  <si>
    <t>Venda total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</si>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</sst>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7.5"/>
      <color theme="1"/>
      <name val="Arial"/>
      <family val="2"/>
    </font>
    <font>
      <b/>
      <sz val="7.5"/>
      <color rgb="FFFF000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theme="7" tint="-0.24994659260841701"/>
      </left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double">
        <color rgb="FF92D050"/>
      </left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2">
    <xf numFmtId="0" fontId="0" fillId="0" borderId="0"/>
    <xf numFmtId="44" fontId="33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0" borderId="0" xfId="0" applyBorder="1"/>
    <xf numFmtId="0" fontId="2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3" fontId="1" fillId="2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right"/>
    </xf>
    <xf numFmtId="3" fontId="1" fillId="3" borderId="0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8" fillId="3" borderId="3" xfId="0" applyFont="1" applyFill="1" applyBorder="1"/>
    <xf numFmtId="0" fontId="12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3" fontId="0" fillId="0" borderId="0" xfId="0" applyNumberFormat="1"/>
    <xf numFmtId="0" fontId="11" fillId="6" borderId="5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8" fillId="7" borderId="0" xfId="0" applyFont="1" applyFill="1"/>
    <xf numFmtId="0" fontId="8" fillId="3" borderId="0" xfId="0" applyFont="1" applyFill="1"/>
    <xf numFmtId="0" fontId="8" fillId="2" borderId="0" xfId="0" applyFont="1" applyFill="1"/>
    <xf numFmtId="0" fontId="8" fillId="8" borderId="0" xfId="0" applyFont="1" applyFill="1"/>
    <xf numFmtId="0" fontId="19" fillId="0" borderId="8" xfId="0" applyFont="1" applyBorder="1"/>
    <xf numFmtId="0" fontId="19" fillId="0" borderId="0" xfId="0" applyFont="1"/>
    <xf numFmtId="0" fontId="19" fillId="0" borderId="0" xfId="0" applyFont="1" applyBorder="1"/>
    <xf numFmtId="0" fontId="0" fillId="0" borderId="9" xfId="0" applyBorder="1"/>
    <xf numFmtId="0" fontId="0" fillId="9" borderId="0" xfId="0" applyFill="1" applyAlignment="1">
      <alignment horizontal="center"/>
    </xf>
    <xf numFmtId="0" fontId="21" fillId="4" borderId="0" xfId="0" applyFont="1" applyFill="1"/>
    <xf numFmtId="0" fontId="22" fillId="0" borderId="0" xfId="0" applyFont="1"/>
    <xf numFmtId="0" fontId="20" fillId="10" borderId="0" xfId="0" applyFont="1" applyFill="1"/>
    <xf numFmtId="0" fontId="21" fillId="0" borderId="0" xfId="0" applyFont="1" applyFill="1"/>
    <xf numFmtId="0" fontId="19" fillId="0" borderId="1" xfId="0" applyFont="1" applyBorder="1"/>
    <xf numFmtId="0" fontId="19" fillId="0" borderId="2" xfId="0" applyFont="1" applyBorder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0" fillId="0" borderId="0" xfId="0" applyFill="1"/>
    <xf numFmtId="0" fontId="0" fillId="11" borderId="0" xfId="0" applyFill="1"/>
    <xf numFmtId="0" fontId="0" fillId="12" borderId="0" xfId="0" applyFill="1"/>
    <xf numFmtId="0" fontId="19" fillId="11" borderId="0" xfId="0" applyFont="1" applyFill="1"/>
    <xf numFmtId="0" fontId="0" fillId="9" borderId="0" xfId="0" applyFill="1"/>
    <xf numFmtId="0" fontId="0" fillId="9" borderId="0" xfId="0" applyFill="1" applyBorder="1"/>
    <xf numFmtId="0" fontId="0" fillId="0" borderId="0" xfId="0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7" fillId="0" borderId="10" xfId="0" applyFont="1" applyBorder="1" applyAlignment="1">
      <alignment horizontal="center"/>
    </xf>
    <xf numFmtId="0" fontId="28" fillId="0" borderId="0" xfId="0" applyFont="1" applyAlignment="1">
      <alignment horizontal="right"/>
    </xf>
    <xf numFmtId="0" fontId="29" fillId="0" borderId="0" xfId="0" applyFont="1"/>
    <xf numFmtId="0" fontId="0" fillId="13" borderId="0" xfId="0" applyFill="1"/>
    <xf numFmtId="3" fontId="31" fillId="0" borderId="7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3" fontId="31" fillId="0" borderId="0" xfId="0" applyNumberFormat="1" applyFont="1" applyAlignment="1">
      <alignment horizontal="center"/>
    </xf>
    <xf numFmtId="0" fontId="31" fillId="0" borderId="7" xfId="0" applyFont="1" applyBorder="1" applyAlignment="1">
      <alignment vertical="center" wrapText="1"/>
    </xf>
    <xf numFmtId="0" fontId="31" fillId="6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37" fillId="0" borderId="0" xfId="0" applyFont="1"/>
    <xf numFmtId="44" fontId="0" fillId="0" borderId="0" xfId="1" applyFont="1"/>
    <xf numFmtId="0" fontId="0" fillId="0" borderId="0" xfId="0" applyNumberFormat="1"/>
    <xf numFmtId="0" fontId="38" fillId="0" borderId="0" xfId="0" applyFont="1"/>
    <xf numFmtId="44" fontId="38" fillId="0" borderId="0" xfId="0" applyNumberFormat="1" applyFont="1"/>
  </cellXfs>
  <cellStyles count="2">
    <cellStyle name="Mo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wmf"/><Relationship Id="rId1" Type="http://schemas.openxmlformats.org/officeDocument/2006/relationships/image" Target="../media/image5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w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wmf"/><Relationship Id="rId2" Type="http://schemas.openxmlformats.org/officeDocument/2006/relationships/image" Target="../media/image10.wmf"/><Relationship Id="rId1" Type="http://schemas.openxmlformats.org/officeDocument/2006/relationships/image" Target="../media/image9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838200</xdr:colOff>
      <xdr:row>0</xdr:row>
      <xdr:rowOff>133350</xdr:rowOff>
    </xdr:from>
    <xdr:ext cx="967509" cy="298800"/>
    <xdr:sp macro="" textlink="">
      <xdr:nvSpPr>
        <xdr:cNvPr id="2" name="CaixaDeTexto 1"/>
        <xdr:cNvSpPr txBox="1"/>
      </xdr:nvSpPr>
      <xdr:spPr>
        <a:xfrm>
          <a:off x="838200" y="133350"/>
          <a:ext cx="96750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pt-BR" sz="1400" b="1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FIRMA A</a:t>
          </a:r>
        </a:p>
      </xdr:txBody>
    </xdr:sp>
    <xdr:clientData/>
  </xdr:oneCellAnchor>
  <xdr:oneCellAnchor>
    <xdr:from>
      <xdr:col>10</xdr:col>
      <xdr:colOff>333375</xdr:colOff>
      <xdr:row>0</xdr:row>
      <xdr:rowOff>123825</xdr:rowOff>
    </xdr:from>
    <xdr:ext cx="957634" cy="298800"/>
    <xdr:sp macro="" textlink="">
      <xdr:nvSpPr>
        <xdr:cNvPr id="3" name="CaixaDeTexto 2"/>
        <xdr:cNvSpPr txBox="1"/>
      </xdr:nvSpPr>
      <xdr:spPr>
        <a:xfrm>
          <a:off x="6162675" y="123825"/>
          <a:ext cx="957634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pt-BR" sz="1400" b="1">
              <a:solidFill>
                <a:srgbClr val="C00000"/>
              </a:solidFill>
              <a:latin typeface="Times New Roman" pitchFamily="18" charset="0"/>
              <a:cs typeface="Times New Roman" pitchFamily="18" charset="0"/>
            </a:rPr>
            <a:t>FIRMA B</a:t>
          </a:r>
        </a:p>
      </xdr:txBody>
    </xdr:sp>
    <xdr:clientData/>
  </xdr:oneCellAnchor>
  <xdr:twoCellAnchor>
    <xdr:from>
      <xdr:col>0</xdr:col>
      <xdr:colOff>400050</xdr:colOff>
      <xdr:row>19</xdr:row>
      <xdr:rowOff>95250</xdr:rowOff>
    </xdr:from>
    <xdr:to>
      <xdr:col>10</xdr:col>
      <xdr:colOff>247650</xdr:colOff>
      <xdr:row>46</xdr:row>
      <xdr:rowOff>161925</xdr:rowOff>
    </xdr:to>
    <xdr:sp macro="" textlink="">
      <xdr:nvSpPr>
        <xdr:cNvPr id="4" name="CaixaDeTexto 3"/>
        <xdr:cNvSpPr txBox="1"/>
      </xdr:nvSpPr>
      <xdr:spPr>
        <a:xfrm>
          <a:off x="400050" y="3924300"/>
          <a:ext cx="7153275" cy="52101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QUESTÃO 1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O risco de ativos financeiros de um portfólio é algumas vezes chamado de risco de investimentos. Em geral, o risco de investimentos é tipicamente mensurado ao computar a variação ou desvio padrão da distribuição de probabilidades que descreve os possíveis resultados do tomador de decisões (ganhos ou perdas). Quanto maior a variação em retornos potenciais, maior a incerteza enfrentada pelo tomador de decisão; quanto menor a variação em resultados potenciais, mais previsíveis se tornam os ganhos ou perdas. As duas distribuições de probabilidades discretas dadas na tabela abaixo foram desenvolvidas a partir de dados históricos. Elas descrevem as perdas potenciais totais de danos físicos no próximo ano para frotas de caminhões de entregas para duas firmas diferentes.</a:t>
          </a: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Determine no programa EXCEL:</a:t>
          </a:r>
        </a:p>
        <a:p>
          <a:pPr lvl="0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a perda esperada total por dano físico em cada distribuição;</a:t>
          </a:r>
        </a:p>
        <a:p>
          <a:pPr lvl="0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o desvio padrão para cada distribuição de probabilidades.</a:t>
          </a:r>
        </a:p>
        <a:p>
          <a:r>
            <a:rPr lang="pt-BR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Resposta: A - $ 2.450 (firmas A e B); B - $ 661,44 (firma A); $ 701,78 (firma B)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866775</xdr:colOff>
      <xdr:row>27</xdr:row>
      <xdr:rowOff>0</xdr:rowOff>
    </xdr:from>
    <xdr:to>
      <xdr:col>7</xdr:col>
      <xdr:colOff>76200</xdr:colOff>
      <xdr:row>42</xdr:row>
      <xdr:rowOff>95250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6775" y="5353050"/>
          <a:ext cx="6515100" cy="2952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909638</xdr:colOff>
      <xdr:row>15</xdr:row>
      <xdr:rowOff>0</xdr:rowOff>
    </xdr:from>
    <xdr:to>
      <xdr:col>2</xdr:col>
      <xdr:colOff>1047750</xdr:colOff>
      <xdr:row>19</xdr:row>
      <xdr:rowOff>95250</xdr:rowOff>
    </xdr:to>
    <xdr:cxnSp macro="">
      <xdr:nvCxnSpPr>
        <xdr:cNvPr id="9" name="Conector angulado 8"/>
        <xdr:cNvCxnSpPr>
          <a:endCxn id="4" idx="0"/>
        </xdr:cNvCxnSpPr>
      </xdr:nvCxnSpPr>
      <xdr:spPr>
        <a:xfrm rot="5400000">
          <a:off x="3617119" y="3426619"/>
          <a:ext cx="857250" cy="13811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247651</xdr:colOff>
      <xdr:row>14</xdr:row>
      <xdr:rowOff>238125</xdr:rowOff>
    </xdr:from>
    <xdr:to>
      <xdr:col>12</xdr:col>
      <xdr:colOff>952501</xdr:colOff>
      <xdr:row>33</xdr:row>
      <xdr:rowOff>33338</xdr:rowOff>
    </xdr:to>
    <xdr:cxnSp macro="">
      <xdr:nvCxnSpPr>
        <xdr:cNvPr id="11" name="Forma 10"/>
        <xdr:cNvCxnSpPr>
          <a:endCxn id="4" idx="3"/>
        </xdr:cNvCxnSpPr>
      </xdr:nvCxnSpPr>
      <xdr:spPr>
        <a:xfrm rot="5400000">
          <a:off x="7317582" y="3293269"/>
          <a:ext cx="3471863" cy="3000375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247651</xdr:colOff>
      <xdr:row>9</xdr:row>
      <xdr:rowOff>19049</xdr:rowOff>
    </xdr:from>
    <xdr:to>
      <xdr:col>18</xdr:col>
      <xdr:colOff>333376</xdr:colOff>
      <xdr:row>33</xdr:row>
      <xdr:rowOff>33337</xdr:rowOff>
    </xdr:to>
    <xdr:cxnSp macro="">
      <xdr:nvCxnSpPr>
        <xdr:cNvPr id="13" name="Conector angulado 12"/>
        <xdr:cNvCxnSpPr>
          <a:endCxn id="4" idx="3"/>
        </xdr:cNvCxnSpPr>
      </xdr:nvCxnSpPr>
      <xdr:spPr>
        <a:xfrm rot="10800000" flipV="1">
          <a:off x="7553326" y="1876424"/>
          <a:ext cx="8124825" cy="4652963"/>
        </a:xfrm>
        <a:prstGeom prst="bentConnector3">
          <a:avLst>
            <a:gd name="adj1" fmla="val -176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142875</xdr:colOff>
          <xdr:row>3</xdr:row>
          <xdr:rowOff>57150</xdr:rowOff>
        </xdr:from>
        <xdr:to>
          <xdr:col>8</xdr:col>
          <xdr:colOff>809625</xdr:colOff>
          <xdr:row>6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504825</xdr:colOff>
          <xdr:row>12</xdr:row>
          <xdr:rowOff>66675</xdr:rowOff>
        </xdr:from>
        <xdr:to>
          <xdr:col>7</xdr:col>
          <xdr:colOff>561975</xdr:colOff>
          <xdr:row>13</xdr:row>
          <xdr:rowOff>152400</xdr:rowOff>
        </xdr:to>
        <xdr:sp macro="" textlink="">
          <xdr:nvSpPr>
            <xdr:cNvPr id="5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123825</xdr:colOff>
          <xdr:row>6</xdr:row>
          <xdr:rowOff>200025</xdr:rowOff>
        </xdr:from>
        <xdr:to>
          <xdr:col>8</xdr:col>
          <xdr:colOff>847725</xdr:colOff>
          <xdr:row>10</xdr:row>
          <xdr:rowOff>171450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19059</xdr:colOff>
      <xdr:row>1</xdr:row>
      <xdr:rowOff>114305</xdr:rowOff>
    </xdr:from>
    <xdr:to>
      <xdr:col>8</xdr:col>
      <xdr:colOff>333375</xdr:colOff>
      <xdr:row>7</xdr:row>
      <xdr:rowOff>171450</xdr:rowOff>
    </xdr:to>
    <xdr:grpSp>
      <xdr:nvGrpSpPr>
        <xdr:cNvPr id="5" name="Grupo 4"/>
        <xdr:cNvGrpSpPr/>
      </xdr:nvGrpSpPr>
      <xdr:grpSpPr>
        <a:xfrm>
          <a:off x="2600334" y="352430"/>
          <a:ext cx="4581516" cy="1247770"/>
          <a:chOff x="2600334" y="352430"/>
          <a:chExt cx="4581516" cy="1038220"/>
        </a:xfrm>
      </xdr:grpSpPr>
      <xdr:sp macro="" textlink="">
        <xdr:nvSpPr>
          <xdr:cNvPr id="2" name="CaixaDeTexto 1"/>
          <xdr:cNvSpPr txBox="1"/>
        </xdr:nvSpPr>
        <xdr:spPr>
          <a:xfrm>
            <a:off x="3390900" y="361949"/>
            <a:ext cx="3790950" cy="102870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QUESTÃO 2</a:t>
            </a:r>
            <a:endParaRPr lang="pt-BR" sz="110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r>
              <a:rPr lang="pt-BR" sz="1200" b="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Seja X uma variável aleatória distribuída normalmente, com uma média de 50 e desvio-padrão de 10. Use a função </a:t>
            </a:r>
            <a:r>
              <a:rPr lang="pt-BR" sz="1200" b="0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PADRONIZAR do EXCEL para encontrar o valor</a:t>
            </a:r>
          </a:p>
          <a:p>
            <a:r>
              <a:rPr lang="pt-BR" sz="1200" b="0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de z quando x=45.</a:t>
            </a:r>
          </a:p>
          <a:p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Resposta: z= -0,5</a:t>
            </a:r>
            <a:endParaRPr lang="pt-BR" sz="1100" b="0"/>
          </a:p>
        </xdr:txBody>
      </xdr:sp>
      <xdr:cxnSp macro="">
        <xdr:nvCxnSpPr>
          <xdr:cNvPr id="4" name="Conector angulado 3"/>
          <xdr:cNvCxnSpPr>
            <a:stCxn id="2" idx="1"/>
          </xdr:cNvCxnSpPr>
        </xdr:nvCxnSpPr>
        <xdr:spPr>
          <a:xfrm rot="10800000">
            <a:off x="2600334" y="352430"/>
            <a:ext cx="790567" cy="523871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28599</xdr:colOff>
      <xdr:row>14</xdr:row>
      <xdr:rowOff>76216</xdr:rowOff>
    </xdr:from>
    <xdr:to>
      <xdr:col>8</xdr:col>
      <xdr:colOff>581024</xdr:colOff>
      <xdr:row>23</xdr:row>
      <xdr:rowOff>76200</xdr:rowOff>
    </xdr:to>
    <xdr:grpSp>
      <xdr:nvGrpSpPr>
        <xdr:cNvPr id="6" name="Grupo 5"/>
        <xdr:cNvGrpSpPr/>
      </xdr:nvGrpSpPr>
      <xdr:grpSpPr>
        <a:xfrm>
          <a:off x="2609874" y="2838466"/>
          <a:ext cx="4819625" cy="1762109"/>
          <a:chOff x="2600350" y="352434"/>
          <a:chExt cx="4581500" cy="1006747"/>
        </a:xfrm>
      </xdr:grpSpPr>
      <xdr:sp macro="" textlink="">
        <xdr:nvSpPr>
          <xdr:cNvPr id="7" name="CaixaDeTexto 6"/>
          <xdr:cNvSpPr txBox="1"/>
        </xdr:nvSpPr>
        <xdr:spPr>
          <a:xfrm>
            <a:off x="3390901" y="361948"/>
            <a:ext cx="3790949" cy="99723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QUESTÃO 3</a:t>
            </a:r>
            <a:endParaRPr lang="pt-BR" sz="110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Os comprimentos do cabo de impressoras de uma linha de produção são normalmente distribuídos com uma média</a:t>
            </a: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de 2 m e um desvio-padrão de 0,05 m. Encontre, usando a</a:t>
            </a: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função </a:t>
            </a:r>
            <a:r>
              <a:rPr lang="pt-BR" sz="1100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DIST.NORM, a </a:t>
            </a:r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probabilidade de que o comprimento</a:t>
            </a: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do cabo de uma impressora escolhido aleatoriamente seja</a:t>
            </a: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mais curto que 1,9 m.</a:t>
            </a:r>
          </a:p>
          <a:p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Resposta: 0,02275=2,275%</a:t>
            </a:r>
            <a:endParaRPr lang="pt-BR" sz="1100" b="0"/>
          </a:p>
        </xdr:txBody>
      </xdr:sp>
      <xdr:cxnSp macro="">
        <xdr:nvCxnSpPr>
          <xdr:cNvPr id="8" name="Conector angulado 7"/>
          <xdr:cNvCxnSpPr>
            <a:stCxn id="7" idx="1"/>
          </xdr:cNvCxnSpPr>
        </xdr:nvCxnSpPr>
        <xdr:spPr>
          <a:xfrm rot="10800000">
            <a:off x="2600350" y="352434"/>
            <a:ext cx="790552" cy="508131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19086</xdr:colOff>
      <xdr:row>29</xdr:row>
      <xdr:rowOff>104792</xdr:rowOff>
    </xdr:from>
    <xdr:to>
      <xdr:col>8</xdr:col>
      <xdr:colOff>571499</xdr:colOff>
      <xdr:row>36</xdr:row>
      <xdr:rowOff>57150</xdr:rowOff>
    </xdr:to>
    <xdr:grpSp>
      <xdr:nvGrpSpPr>
        <xdr:cNvPr id="16" name="Grupo 15"/>
        <xdr:cNvGrpSpPr/>
      </xdr:nvGrpSpPr>
      <xdr:grpSpPr>
        <a:xfrm>
          <a:off x="2600361" y="5772167"/>
          <a:ext cx="4819613" cy="1333483"/>
          <a:chOff x="2600362" y="352437"/>
          <a:chExt cx="4581488" cy="742250"/>
        </a:xfrm>
      </xdr:grpSpPr>
      <xdr:sp macro="" textlink="">
        <xdr:nvSpPr>
          <xdr:cNvPr id="17" name="CaixaDeTexto 16"/>
          <xdr:cNvSpPr txBox="1"/>
        </xdr:nvSpPr>
        <xdr:spPr>
          <a:xfrm>
            <a:off x="3390901" y="361951"/>
            <a:ext cx="3790949" cy="73273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QUESTÃO 4</a:t>
            </a:r>
            <a:endParaRPr lang="pt-BR" sz="110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Determine </a:t>
            </a:r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</a:t>
            </a:r>
            <a:r>
              <a:rPr lang="pt-BR" sz="1100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(z&lt;1,68)</a:t>
            </a:r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usando a função DIST.NORMP(“ARG”) onde ARG é o valor requerido para o parâmetro </a:t>
            </a:r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</a:t>
            </a:r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tal que </a:t>
            </a:r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z&lt;a</a:t>
            </a:r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, onde </a:t>
            </a:r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z</a:t>
            </a:r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representa a variável padronizada. Esta função retorna o valor da área</a:t>
            </a:r>
          </a:p>
          <a:p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sob a curva para </a:t>
            </a:r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0&lt;z&lt;a</a:t>
            </a:r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.</a:t>
            </a:r>
          </a:p>
          <a:p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Resposta: 0,9535=95,35%</a:t>
            </a:r>
            <a:endParaRPr lang="pt-BR" sz="1100" b="1" i="1"/>
          </a:p>
        </xdr:txBody>
      </xdr:sp>
      <xdr:cxnSp macro="">
        <xdr:nvCxnSpPr>
          <xdr:cNvPr id="18" name="Conector angulado 17"/>
          <xdr:cNvCxnSpPr>
            <a:stCxn id="17" idx="1"/>
          </xdr:cNvCxnSpPr>
        </xdr:nvCxnSpPr>
        <xdr:spPr>
          <a:xfrm rot="10800000">
            <a:off x="2600362" y="352437"/>
            <a:ext cx="790540" cy="375882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41</xdr:colOff>
      <xdr:row>41</xdr:row>
      <xdr:rowOff>95271</xdr:rowOff>
    </xdr:from>
    <xdr:to>
      <xdr:col>8</xdr:col>
      <xdr:colOff>552449</xdr:colOff>
      <xdr:row>50</xdr:row>
      <xdr:rowOff>171450</xdr:rowOff>
    </xdr:to>
    <xdr:grpSp>
      <xdr:nvGrpSpPr>
        <xdr:cNvPr id="42" name="Grupo 41"/>
        <xdr:cNvGrpSpPr/>
      </xdr:nvGrpSpPr>
      <xdr:grpSpPr>
        <a:xfrm>
          <a:off x="2581316" y="8096271"/>
          <a:ext cx="4819608" cy="1838304"/>
          <a:chOff x="2600367" y="352440"/>
          <a:chExt cx="4581483" cy="1170005"/>
        </a:xfrm>
      </xdr:grpSpPr>
      <xdr:sp macro="" textlink="">
        <xdr:nvSpPr>
          <xdr:cNvPr id="43" name="CaixaDeTexto 42"/>
          <xdr:cNvSpPr txBox="1"/>
        </xdr:nvSpPr>
        <xdr:spPr>
          <a:xfrm>
            <a:off x="3390901" y="361951"/>
            <a:ext cx="3790949" cy="1160494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ctr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QUESTÃO 5</a:t>
            </a:r>
            <a:endParaRPr lang="pt-BR" sz="110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pPr algn="l"/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Um grupo de alunos obteve uma pontuação média de 57 em uma classificação de admissão numa determinada empresa, com um desvio-padrão de 9 pontos. Suponha que os valores tenham uma</a:t>
            </a:r>
          </a:p>
          <a:p>
            <a:pPr algn="l"/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distribuição normal. Se os 10% mais baixo do grupo foram reprovados, qual era a nota para passar na</a:t>
            </a:r>
          </a:p>
          <a:p>
            <a:pPr algn="l"/>
            <a:r>
              <a:rPr lang="pt-BR" sz="11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prova? Use a função INV.NORM(“ÁREA”, “MÉDIA”, “DESVIO-PADRÃO”, “CUMULATIVO”).</a:t>
            </a:r>
          </a:p>
          <a:p>
            <a:r>
              <a:rPr lang="pt-BR" sz="11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Resposta: 45,47</a:t>
            </a:r>
            <a:endParaRPr lang="pt-BR" sz="1100" b="1" i="1"/>
          </a:p>
        </xdr:txBody>
      </xdr:sp>
      <xdr:cxnSp macro="">
        <xdr:nvCxnSpPr>
          <xdr:cNvPr id="44" name="Conector angulado 43"/>
          <xdr:cNvCxnSpPr>
            <a:stCxn id="43" idx="1"/>
          </xdr:cNvCxnSpPr>
        </xdr:nvCxnSpPr>
        <xdr:spPr>
          <a:xfrm rot="10800000">
            <a:off x="2600367" y="352440"/>
            <a:ext cx="790534" cy="589759"/>
          </a:xfrm>
          <a:prstGeom prst="bentConnector2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317504</xdr:colOff>
      <xdr:row>2</xdr:row>
      <xdr:rowOff>161925</xdr:rowOff>
    </xdr:from>
    <xdr:ext cx="1538288" cy="264560"/>
    <xdr:sp macro="" textlink="">
      <xdr:nvSpPr>
        <xdr:cNvPr id="2" name="CaixaDeTexto 1"/>
        <xdr:cNvSpPr txBox="1"/>
      </xdr:nvSpPr>
      <xdr:spPr>
        <a:xfrm>
          <a:off x="4595817" y="550863"/>
          <a:ext cx="1538288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Variância populacional</a:t>
          </a:r>
        </a:p>
      </xdr:txBody>
    </xdr:sp>
    <xdr:clientData/>
  </xdr:oneCellAnchor>
  <xdr:oneCellAnchor>
    <xdr:from>
      <xdr:col>7</xdr:col>
      <xdr:colOff>552451</xdr:colOff>
      <xdr:row>4</xdr:row>
      <xdr:rowOff>180975</xdr:rowOff>
    </xdr:from>
    <xdr:ext cx="1838324" cy="264560"/>
    <xdr:sp macro="" textlink="">
      <xdr:nvSpPr>
        <xdr:cNvPr id="3" name="CaixaDeTexto 2"/>
        <xdr:cNvSpPr txBox="1"/>
      </xdr:nvSpPr>
      <xdr:spPr>
        <a:xfrm>
          <a:off x="4448176" y="942975"/>
          <a:ext cx="183832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Desvio</a:t>
          </a:r>
          <a:r>
            <a:rPr lang="pt-BR" sz="1100" b="1" baseline="0"/>
            <a:t> Padrão Populacional</a:t>
          </a:r>
          <a:endParaRPr lang="pt-BR" sz="1100" b="1"/>
        </a:p>
      </xdr:txBody>
    </xdr:sp>
    <xdr:clientData/>
  </xdr:oneCellAnchor>
  <xdr:oneCellAnchor>
    <xdr:from>
      <xdr:col>1</xdr:col>
      <xdr:colOff>57150</xdr:colOff>
      <xdr:row>11</xdr:row>
      <xdr:rowOff>152400</xdr:rowOff>
    </xdr:from>
    <xdr:ext cx="962025" cy="264560"/>
    <xdr:sp macro="" textlink="">
      <xdr:nvSpPr>
        <xdr:cNvPr id="4" name="CaixaDeTexto 3"/>
        <xdr:cNvSpPr txBox="1"/>
      </xdr:nvSpPr>
      <xdr:spPr>
        <a:xfrm>
          <a:off x="57150" y="2247900"/>
          <a:ext cx="96202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Amostras</a:t>
          </a:r>
        </a:p>
      </xdr:txBody>
    </xdr:sp>
    <xdr:clientData/>
  </xdr:oneCellAnchor>
  <xdr:oneCellAnchor>
    <xdr:from>
      <xdr:col>7</xdr:col>
      <xdr:colOff>476250</xdr:colOff>
      <xdr:row>8</xdr:row>
      <xdr:rowOff>0</xdr:rowOff>
    </xdr:from>
    <xdr:ext cx="1905000" cy="264560"/>
    <xdr:sp macro="" textlink="">
      <xdr:nvSpPr>
        <xdr:cNvPr id="5" name="CaixaDeTexto 4"/>
        <xdr:cNvSpPr txBox="1"/>
      </xdr:nvSpPr>
      <xdr:spPr>
        <a:xfrm>
          <a:off x="4371975" y="1524000"/>
          <a:ext cx="190500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Média das médias amostrais</a:t>
          </a:r>
        </a:p>
      </xdr:txBody>
    </xdr:sp>
    <xdr:clientData/>
  </xdr:oneCellAnchor>
  <xdr:oneCellAnchor>
    <xdr:from>
      <xdr:col>7</xdr:col>
      <xdr:colOff>476250</xdr:colOff>
      <xdr:row>10</xdr:row>
      <xdr:rowOff>28575</xdr:rowOff>
    </xdr:from>
    <xdr:ext cx="1905000" cy="436786"/>
    <xdr:sp macro="" textlink="">
      <xdr:nvSpPr>
        <xdr:cNvPr id="6" name="CaixaDeTexto 5"/>
        <xdr:cNvSpPr txBox="1"/>
      </xdr:nvSpPr>
      <xdr:spPr>
        <a:xfrm>
          <a:off x="4371975" y="1933575"/>
          <a:ext cx="1905000" cy="436786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Variância populacional das médias amostrais</a:t>
          </a:r>
        </a:p>
      </xdr:txBody>
    </xdr:sp>
    <xdr:clientData/>
  </xdr:oneCellAnchor>
  <xdr:oneCellAnchor>
    <xdr:from>
      <xdr:col>7</xdr:col>
      <xdr:colOff>466725</xdr:colOff>
      <xdr:row>15</xdr:row>
      <xdr:rowOff>0</xdr:rowOff>
    </xdr:from>
    <xdr:ext cx="1905000" cy="436786"/>
    <xdr:sp macro="" textlink="">
      <xdr:nvSpPr>
        <xdr:cNvPr id="7" name="CaixaDeTexto 6"/>
        <xdr:cNvSpPr txBox="1"/>
      </xdr:nvSpPr>
      <xdr:spPr>
        <a:xfrm>
          <a:off x="4362450" y="2857500"/>
          <a:ext cx="1905000" cy="436786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Desvio padrão das médias amostrais</a:t>
          </a:r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685801" cy="264560"/>
    <xdr:sp macro="" textlink="">
      <xdr:nvSpPr>
        <xdr:cNvPr id="8" name="CaixaDeTexto 7"/>
        <xdr:cNvSpPr txBox="1"/>
      </xdr:nvSpPr>
      <xdr:spPr>
        <a:xfrm>
          <a:off x="0" y="0"/>
          <a:ext cx="685801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Valores</a:t>
          </a:r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952500" cy="264560"/>
    <xdr:sp macro="" textlink="">
      <xdr:nvSpPr>
        <xdr:cNvPr id="9" name="CaixaDeTexto 8"/>
        <xdr:cNvSpPr txBox="1"/>
      </xdr:nvSpPr>
      <xdr:spPr>
        <a:xfrm>
          <a:off x="1219200" y="0"/>
          <a:ext cx="95250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(xi-média)^2</a:t>
          </a:r>
        </a:p>
      </xdr:txBody>
    </xdr:sp>
    <xdr:clientData/>
  </xdr:oneCellAnchor>
  <xdr:oneCellAnchor>
    <xdr:from>
      <xdr:col>8</xdr:col>
      <xdr:colOff>468312</xdr:colOff>
      <xdr:row>1</xdr:row>
      <xdr:rowOff>0</xdr:rowOff>
    </xdr:from>
    <xdr:ext cx="1382713" cy="219076"/>
    <xdr:sp macro="" textlink="">
      <xdr:nvSpPr>
        <xdr:cNvPr id="10" name="CaixaDeTexto 9"/>
        <xdr:cNvSpPr txBox="1"/>
      </xdr:nvSpPr>
      <xdr:spPr>
        <a:xfrm>
          <a:off x="4746625" y="190500"/>
          <a:ext cx="1382713" cy="219076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  <a:effectLst>
          <a:outerShdw blurRad="50800" dist="50800" dir="5400000" algn="ctr" rotWithShape="0">
            <a:schemeClr val="accent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1"/>
            <a:t>Média populacional</a:t>
          </a:r>
        </a:p>
      </xdr:txBody>
    </xdr:sp>
    <xdr:clientData/>
  </xdr:oneCellAnchor>
  <xdr:twoCellAnchor>
    <xdr:from>
      <xdr:col>14</xdr:col>
      <xdr:colOff>361950</xdr:colOff>
      <xdr:row>1</xdr:row>
      <xdr:rowOff>123825</xdr:rowOff>
    </xdr:from>
    <xdr:to>
      <xdr:col>26</xdr:col>
      <xdr:colOff>466725</xdr:colOff>
      <xdr:row>12</xdr:row>
      <xdr:rowOff>104775</xdr:rowOff>
    </xdr:to>
    <xdr:sp macro="" textlink="">
      <xdr:nvSpPr>
        <xdr:cNvPr id="11" name="CaixaDeTexto 10"/>
        <xdr:cNvSpPr txBox="1"/>
      </xdr:nvSpPr>
      <xdr:spPr>
        <a:xfrm>
          <a:off x="9158968" y="314325"/>
          <a:ext cx="7452632" cy="2464254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QUESTÃO 6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Suponha que uma população consiste apenas nos seguintes valores: 3, 5, 7 e 8. Considere ainda  que sejam tomadas amostras aleatórias simples de tamanho n=2. Para cada amostra, o primeiro item sorteado não é reposto na população antes de se sortear o segundo. Use o programa EXCEL para determinar: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A – a média populacional;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B – o desvio padrão populacional;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C – a média de cada amostra;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D – a média de todas as possíveis médias amostrais;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E – o desvio padrão das médias amostrais possíveis (compare este resultado com aquele que seria obtido através da fórmula apropriada para o erro padrão da média).</a:t>
          </a:r>
        </a:p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pt-BR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Resposta: A) 5,75; B) 1,92; C) médias amostrais possíveis={4;5;5,5;6;6,5;7,5}; D) 5,75; E) 1,1087</a:t>
          </a:r>
          <a:endParaRPr lang="pt-BR" sz="1100"/>
        </a:p>
      </xdr:txBody>
    </xdr:sp>
    <xdr:clientData/>
  </xdr:twoCellAnchor>
  <xdr:twoCellAnchor>
    <xdr:from>
      <xdr:col>12</xdr:col>
      <xdr:colOff>0</xdr:colOff>
      <xdr:row>7</xdr:row>
      <xdr:rowOff>14288</xdr:rowOff>
    </xdr:from>
    <xdr:to>
      <xdr:col>14</xdr:col>
      <xdr:colOff>361950</xdr:colOff>
      <xdr:row>9</xdr:row>
      <xdr:rowOff>95250</xdr:rowOff>
    </xdr:to>
    <xdr:cxnSp macro="">
      <xdr:nvCxnSpPr>
        <xdr:cNvPr id="13" name="Conector angulado 12"/>
        <xdr:cNvCxnSpPr>
          <a:endCxn id="11" idx="1"/>
        </xdr:cNvCxnSpPr>
      </xdr:nvCxnSpPr>
      <xdr:spPr>
        <a:xfrm flipV="1">
          <a:off x="7082518" y="1633538"/>
          <a:ext cx="2076450" cy="55721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171450</xdr:colOff>
          <xdr:row>15</xdr:row>
          <xdr:rowOff>152400</xdr:rowOff>
        </xdr:from>
        <xdr:to>
          <xdr:col>5</xdr:col>
          <xdr:colOff>438150</xdr:colOff>
          <xdr:row>20</xdr:row>
          <xdr:rowOff>47625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962025</xdr:colOff>
          <xdr:row>23</xdr:row>
          <xdr:rowOff>152400</xdr:rowOff>
        </xdr:from>
        <xdr:to>
          <xdr:col>4</xdr:col>
          <xdr:colOff>419100</xdr:colOff>
          <xdr:row>27</xdr:row>
          <xdr:rowOff>133350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19</xdr:row>
          <xdr:rowOff>200025</xdr:rowOff>
        </xdr:from>
        <xdr:to>
          <xdr:col>1</xdr:col>
          <xdr:colOff>800100</xdr:colOff>
          <xdr:row>21</xdr:row>
          <xdr:rowOff>19050</xdr:rowOff>
        </xdr:to>
        <xdr:sp macro="" textlink="">
          <xdr:nvSpPr>
            <xdr:cNvPr id="7171" name="Object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104777</xdr:rowOff>
    </xdr:from>
    <xdr:to>
      <xdr:col>11</xdr:col>
      <xdr:colOff>571500</xdr:colOff>
      <xdr:row>15</xdr:row>
      <xdr:rowOff>0</xdr:rowOff>
    </xdr:to>
    <xdr:grpSp>
      <xdr:nvGrpSpPr>
        <xdr:cNvPr id="2" name="Grupo 1"/>
        <xdr:cNvGrpSpPr/>
      </xdr:nvGrpSpPr>
      <xdr:grpSpPr>
        <a:xfrm>
          <a:off x="2162735" y="485777"/>
          <a:ext cx="6067986" cy="2371723"/>
          <a:chOff x="-1456001" y="-3199116"/>
          <a:chExt cx="4581482" cy="854781"/>
        </a:xfrm>
      </xdr:grpSpPr>
      <xdr:sp macro="" textlink="">
        <xdr:nvSpPr>
          <xdr:cNvPr id="3" name="CaixaDeTexto 2"/>
          <xdr:cNvSpPr txBox="1"/>
        </xdr:nvSpPr>
        <xdr:spPr>
          <a:xfrm>
            <a:off x="-665468" y="-3189602"/>
            <a:ext cx="3790949" cy="845267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QUESTÃO 7</a:t>
            </a:r>
            <a:endParaRPr lang="pt-BR" sz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r>
              <a:rPr lang="pt-BR" sz="1200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Uma pesquisa sobre o valor pago por um pacote de viagem, para um determinado destino, envolvendo uma amostra aleatória de 64 pessoas mostrou que a despesa média era de $390,00 com um desvio padrão de $96,00. Determine o valor médio pago por “todos” os turistas que vão para o mesmo destino com 95% de confiança.</a:t>
            </a:r>
          </a:p>
          <a:p>
            <a:r>
              <a:rPr lang="pt-BR" sz="12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Resposta: $ 366,48 a $ 413,52</a:t>
            </a:r>
            <a:endParaRPr lang="pt-BR" sz="1200" b="1" i="1"/>
          </a:p>
        </xdr:txBody>
      </xdr:sp>
      <xdr:cxnSp macro="">
        <xdr:nvCxnSpPr>
          <xdr:cNvPr id="4" name="Conector angulado 3"/>
          <xdr:cNvCxnSpPr>
            <a:stCxn id="3" idx="1"/>
          </xdr:cNvCxnSpPr>
        </xdr:nvCxnSpPr>
        <xdr:spPr>
          <a:xfrm rot="10800000">
            <a:off x="-1456001" y="-3199116"/>
            <a:ext cx="790534" cy="432147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0</xdr:col>
      <xdr:colOff>190500</xdr:colOff>
      <xdr:row>0</xdr:row>
      <xdr:rowOff>76200</xdr:rowOff>
    </xdr:from>
    <xdr:ext cx="1782539" cy="264560"/>
    <xdr:sp macro="" textlink="">
      <xdr:nvSpPr>
        <xdr:cNvPr id="5" name="CaixaDeTexto 4"/>
        <xdr:cNvSpPr txBox="1"/>
      </xdr:nvSpPr>
      <xdr:spPr>
        <a:xfrm>
          <a:off x="190500" y="76200"/>
          <a:ext cx="1782539" cy="2645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INTERVALO DE CONFIANÇA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352425</xdr:colOff>
          <xdr:row>4</xdr:row>
          <xdr:rowOff>123825</xdr:rowOff>
        </xdr:from>
        <xdr:to>
          <xdr:col>1</xdr:col>
          <xdr:colOff>666750</xdr:colOff>
          <xdr:row>6</xdr:row>
          <xdr:rowOff>152400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0</xdr:row>
      <xdr:rowOff>498349</xdr:rowOff>
    </xdr:from>
    <xdr:to>
      <xdr:col>25</xdr:col>
      <xdr:colOff>238123</xdr:colOff>
      <xdr:row>42</xdr:row>
      <xdr:rowOff>161924</xdr:rowOff>
    </xdr:to>
    <xdr:grpSp>
      <xdr:nvGrpSpPr>
        <xdr:cNvPr id="2" name="Grupo 1"/>
        <xdr:cNvGrpSpPr/>
      </xdr:nvGrpSpPr>
      <xdr:grpSpPr>
        <a:xfrm>
          <a:off x="8318501" y="317374"/>
          <a:ext cx="12423772" cy="8137650"/>
          <a:chOff x="-2171345" y="-3189602"/>
          <a:chExt cx="5806633" cy="2517666"/>
        </a:xfrm>
      </xdr:grpSpPr>
      <xdr:sp macro="" textlink="">
        <xdr:nvSpPr>
          <xdr:cNvPr id="3" name="CaixaDeTexto 2"/>
          <xdr:cNvSpPr txBox="1"/>
        </xdr:nvSpPr>
        <xdr:spPr>
          <a:xfrm>
            <a:off x="-665469" y="-3189602"/>
            <a:ext cx="4300757" cy="251766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QUESTÃO 8</a:t>
            </a:r>
            <a:endParaRPr lang="pt-BR" sz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O estoque de segurança é uma quantidade de produos que se tem, mas que não se deseja usar. Tem um comportamento similar a um tipo de seguro. Ou seja, tal quantidade é calculada apenas para suprir uma segurança em casos de variações inesperadas (problemas no fornecedor, atrasos na entrega, uma demanda que não foi prevista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etc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).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No entanto, a busca por menores custos nos leva a ter o mínimo possível de estoques, já que estoque estacionário/acumulado representa capital parado.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 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Neste caso, para a determinação do “equilíbrio  perfeito”,  deve-se considerar uma boa previsão da demanda e o cálculo apropriado para os tamanhos dos estoques, dentre eles, o estoque de segurança.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 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O estoque de segurança (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ES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) é calculado pela fórmula:</a:t>
            </a:r>
          </a:p>
          <a:p>
            <a:endPara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                                                                           .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Aqui,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é a demanda média e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  <a:sym typeface="Symbol"/>
              </a:rPr>
              <a:t></a:t>
            </a:r>
            <a:r>
              <a:rPr lang="pt-BR" sz="1200" i="1" baseline="-25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o desvio padrão dessa demanda; e chamaremos de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 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o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lead time 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médio e de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  <a:sym typeface="Symbol"/>
              </a:rPr>
              <a:t></a:t>
            </a:r>
            <a:r>
              <a:rPr lang="pt-BR" sz="1200" i="1" baseline="-250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o desvio padrão do </a:t>
            </a:r>
            <a:r>
              <a:rPr lang="pt-BR" sz="12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lead time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. O parâmetro z está associado à curva normal padronizada.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Segue uma breve explicação quanto a algumas características de tais parâmetros:</a:t>
            </a:r>
          </a:p>
          <a:p>
            <a:pPr lvl="0"/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demanda: 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se  a  demanda  é  bem  estável  e  conhecida  com  antecedência,  tem-se então  pouca variabilidade e não há necessidade de proteção contra tais variações; por outro lado, se um determinado produto tem uma variabilidade nas vendas muito grande, então necessita-se de um estoque de segurança maior;</a:t>
            </a:r>
          </a:p>
          <a:p>
            <a:pPr lvl="0"/>
            <a:r>
              <a:rPr lang="pt-BR" sz="1200" b="1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lead time </a:t>
            </a:r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(tempo de entrega) do produto: 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se o tempo de entrega é elevado e sua variabilidade é alta, então é preciso ter uma segurança frente ao tempo médio de entrega;</a:t>
            </a:r>
          </a:p>
          <a:p>
            <a:pPr lvl="0"/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nível de serviço desejado: 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nem todos os produtos merecem a mesma atenção e o mesmo cuidado; alguns produtos são críticos, mais importantes ou mais atrativos que outros, e por isso merecem estarem </a:t>
            </a:r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sempre 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presentes. Matematicamente, isto é modelado através do nível de serviço desejado: quanto maior o nível de serviço (um número percentual de 0 a 100), maior será o estoque de segurança. Neste sentido, estabelece-se uma garantia mais provável quanto à disponibilidade do produto. O nível de serviço é um indicador de segurança frente às variabilidades que ocorrem. O valor de z está associado com o nível de serviço.</a:t>
            </a: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Como um exemplo ilustrativo, considere os dados anuais sobre a produção mensal de um determinado produto (</a:t>
            </a:r>
            <a:r>
              <a:rPr lang="pt-BR" sz="1200" u="sng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demanda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) de uma grande indústria, bem como o </a:t>
            </a:r>
            <a:r>
              <a:rPr lang="pt-BR" sz="1200" u="sng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tempo de entrega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da matéria-prima de seus fornecedores para a produção de tal produto.</a:t>
            </a:r>
          </a:p>
          <a:p>
            <a:endPara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Usando um nível de serviço de 95%, determine, no programa </a:t>
            </a:r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EXCEL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:</a:t>
            </a:r>
          </a:p>
          <a:p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a)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demanda média;</a:t>
            </a:r>
          </a:p>
          <a:p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b)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desvio padrão da demanda;</a:t>
            </a:r>
          </a:p>
          <a:p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c)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tempo médio entre pedido e entrega;</a:t>
            </a:r>
          </a:p>
          <a:p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d)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desvio padrão do tempo de entrega;</a:t>
            </a:r>
          </a:p>
          <a:p>
            <a:r>
              <a:rPr lang="pt-BR" sz="12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e)</a:t>
            </a:r>
            <a:r>
              <a:rPr lang="pt-BR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o estoque de segurança.</a:t>
            </a:r>
          </a:p>
          <a:p>
            <a:endPara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2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Resposta: a) </a:t>
            </a:r>
            <a:r>
              <a:rPr lang="pt-BR" sz="1200" b="1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5.025;</a:t>
            </a:r>
            <a:r>
              <a:rPr lang="pt-BR" sz="1200" b="1" i="1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2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b) </a:t>
            </a:r>
            <a:r>
              <a:rPr lang="pt-BR" sz="1200" b="1" i="1" u="none" strike="noStrike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93,83</a:t>
            </a:r>
            <a:r>
              <a:rPr lang="pt-BR" sz="1200" b="1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;</a:t>
            </a:r>
            <a:r>
              <a:rPr lang="pt-BR" sz="12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c) </a:t>
            </a:r>
            <a:r>
              <a:rPr lang="pt-BR" sz="1200" b="1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60,58;</a:t>
            </a:r>
            <a:r>
              <a:rPr lang="pt-BR" sz="1200" b="1" i="1"/>
              <a:t> d) </a:t>
            </a:r>
            <a:r>
              <a:rPr lang="pt-BR" sz="1200" b="1" i="1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0,86;</a:t>
            </a:r>
            <a:r>
              <a:rPr lang="pt-BR" sz="1200" b="1" i="1"/>
              <a:t> </a:t>
            </a:r>
            <a:r>
              <a:rPr lang="pt-BR" sz="1200" b="1" i="1" baseline="0" smtClean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e) </a:t>
            </a:r>
            <a:r>
              <a:rPr lang="pt-BR" sz="1200" b="1" i="0" u="none" strike="noStrike" baseline="0" smtClean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8.610</a:t>
            </a:r>
            <a:endParaRPr lang="pt-BR" sz="1200" b="1" i="1"/>
          </a:p>
        </xdr:txBody>
      </xdr:sp>
      <xdr:cxnSp macro="">
        <xdr:nvCxnSpPr>
          <xdr:cNvPr id="4" name="Conector angulado 3"/>
          <xdr:cNvCxnSpPr/>
        </xdr:nvCxnSpPr>
        <xdr:spPr>
          <a:xfrm rot="10800000">
            <a:off x="-2171345" y="-2787223"/>
            <a:ext cx="1520677" cy="580678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142875</xdr:colOff>
          <xdr:row>0</xdr:row>
          <xdr:rowOff>28575</xdr:rowOff>
        </xdr:from>
        <xdr:to>
          <xdr:col>2</xdr:col>
          <xdr:colOff>704850</xdr:colOff>
          <xdr:row>0</xdr:row>
          <xdr:rowOff>266700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276225</xdr:colOff>
          <xdr:row>0</xdr:row>
          <xdr:rowOff>28575</xdr:rowOff>
        </xdr:from>
        <xdr:to>
          <xdr:col>6</xdr:col>
          <xdr:colOff>781050</xdr:colOff>
          <xdr:row>0</xdr:row>
          <xdr:rowOff>266700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428625</xdr:colOff>
          <xdr:row>9</xdr:row>
          <xdr:rowOff>142875</xdr:rowOff>
        </xdr:from>
        <xdr:to>
          <xdr:col>17</xdr:col>
          <xdr:colOff>457200</xdr:colOff>
          <xdr:row>11</xdr:row>
          <xdr:rowOff>19050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866775</xdr:colOff>
          <xdr:row>16</xdr:row>
          <xdr:rowOff>66675</xdr:rowOff>
        </xdr:from>
        <xdr:to>
          <xdr:col>8</xdr:col>
          <xdr:colOff>9525</xdr:colOff>
          <xdr:row>18</xdr:row>
          <xdr:rowOff>123825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1605644</xdr:colOff>
      <xdr:row>10</xdr:row>
      <xdr:rowOff>18438</xdr:rowOff>
    </xdr:from>
    <xdr:to>
      <xdr:col>6</xdr:col>
      <xdr:colOff>99503</xdr:colOff>
      <xdr:row>15</xdr:row>
      <xdr:rowOff>58681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0233" y="1923438"/>
          <a:ext cx="1677931" cy="992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6804</xdr:colOff>
      <xdr:row>10</xdr:row>
      <xdr:rowOff>85500</xdr:rowOff>
    </xdr:from>
    <xdr:to>
      <xdr:col>2</xdr:col>
      <xdr:colOff>27215</xdr:colOff>
      <xdr:row>11</xdr:row>
      <xdr:rowOff>102053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990500"/>
          <a:ext cx="1707697" cy="207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238125</xdr:colOff>
          <xdr:row>0</xdr:row>
          <xdr:rowOff>9525</xdr:rowOff>
        </xdr:from>
        <xdr:to>
          <xdr:col>2</xdr:col>
          <xdr:colOff>590550</xdr:colOff>
          <xdr:row>10</xdr:row>
          <xdr:rowOff>190500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xmlns="" id="{7626D3DC-82BD-4900-A10D-9741D6185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6.w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5.bin"/><Relationship Id="rId5" Type="http://schemas.openxmlformats.org/officeDocument/2006/relationships/image" Target="../media/image5.wmf"/><Relationship Id="rId4" Type="http://schemas.openxmlformats.org/officeDocument/2006/relationships/oleObject" Target="../embeddings/oleObject4.bin"/><Relationship Id="rId9" Type="http://schemas.openxmlformats.org/officeDocument/2006/relationships/image" Target="../media/image7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8.wmf"/><Relationship Id="rId4" Type="http://schemas.openxmlformats.org/officeDocument/2006/relationships/oleObject" Target="../embeddings/oleObject7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oleObject" Target="../embeddings/oleObject10.bin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9.bin"/><Relationship Id="rId5" Type="http://schemas.openxmlformats.org/officeDocument/2006/relationships/image" Target="../media/image9.wmf"/><Relationship Id="rId10" Type="http://schemas.openxmlformats.org/officeDocument/2006/relationships/image" Target="../media/image11.wmf"/><Relationship Id="rId4" Type="http://schemas.openxmlformats.org/officeDocument/2006/relationships/oleObject" Target="../embeddings/oleObject8.bin"/><Relationship Id="rId9" Type="http://schemas.openxmlformats.org/officeDocument/2006/relationships/oleObject" Target="../embeddings/oleObject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4.png"/><Relationship Id="rId4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S15"/>
  <sheetViews>
    <sheetView zoomScale="200" zoomScaleNormal="200" workbookViewId="0">
      <selection activeCell="B4" sqref="B4"/>
    </sheetView>
  </sheetViews>
  <sheetFormatPr defaultRowHeight="15" x14ac:dyDescent="0.25"/>
  <cols>
    <col min="1" max="1" width="20" customWidth="1"/>
    <col min="2" max="2" width="26" customWidth="1"/>
    <col min="3" max="3" width="15.85546875" customWidth="1"/>
    <col min="4" max="4" width="15.7109375" customWidth="1"/>
    <col min="7" max="10" width="13.7109375" customWidth="1"/>
    <col min="11" max="11" width="10.85546875" customWidth="1"/>
    <col min="12" max="12" width="23.5703125" customWidth="1"/>
    <col min="13" max="13" width="14.42578125" customWidth="1"/>
    <col min="14" max="14" width="16.42578125" customWidth="1"/>
    <col min="18" max="18" width="27.85546875" customWidth="1"/>
  </cols>
  <sheetData>
    <row r="3" spans="1:19" ht="15.75" x14ac:dyDescent="0.25">
      <c r="A3" s="4" t="s">
        <v>5</v>
      </c>
      <c r="B3" s="4" t="s">
        <v>4</v>
      </c>
      <c r="C3" s="4" t="s">
        <v>6</v>
      </c>
      <c r="D3" s="4" t="s">
        <v>7</v>
      </c>
      <c r="F3" s="56"/>
      <c r="G3" s="56"/>
      <c r="H3" s="56"/>
      <c r="I3" s="56"/>
      <c r="K3" s="4" t="s">
        <v>5</v>
      </c>
      <c r="L3" s="4" t="s">
        <v>4</v>
      </c>
      <c r="M3" s="4" t="s">
        <v>6</v>
      </c>
      <c r="N3" s="4" t="s">
        <v>7</v>
      </c>
    </row>
    <row r="4" spans="1:19" ht="18.75" x14ac:dyDescent="0.3">
      <c r="A4" s="5">
        <v>0</v>
      </c>
      <c r="B4" s="6">
        <v>0.01</v>
      </c>
      <c r="C4">
        <f>B4*A4</f>
        <v>0</v>
      </c>
      <c r="D4" s="1">
        <f>B4*(A4-$C$15)^2</f>
        <v>60025</v>
      </c>
      <c r="E4" s="2"/>
      <c r="F4" s="57"/>
      <c r="G4" s="56"/>
      <c r="H4" s="56"/>
      <c r="I4" s="56"/>
      <c r="K4" s="8">
        <v>0</v>
      </c>
      <c r="L4" s="9">
        <v>0</v>
      </c>
      <c r="M4">
        <f>K4*L4</f>
        <v>0</v>
      </c>
      <c r="N4">
        <f>L4*(K4-M15)^2</f>
        <v>0</v>
      </c>
      <c r="R4" s="11" t="s">
        <v>8</v>
      </c>
    </row>
    <row r="5" spans="1:19" ht="15.75" x14ac:dyDescent="0.25">
      <c r="A5" s="5">
        <v>500</v>
      </c>
      <c r="B5" s="6">
        <v>0.01</v>
      </c>
      <c r="C5">
        <f t="shared" ref="C5:C14" si="0">B5*A5</f>
        <v>5</v>
      </c>
      <c r="D5" s="1">
        <f t="shared" ref="D5:D14" si="1">B5*(A5-$C$15)^2</f>
        <v>38025</v>
      </c>
      <c r="E5" s="2"/>
      <c r="F5" s="57"/>
      <c r="G5" s="56"/>
      <c r="H5" s="56"/>
      <c r="I5" s="56"/>
      <c r="K5" s="8">
        <v>200</v>
      </c>
      <c r="L5" s="9">
        <v>0.01</v>
      </c>
      <c r="M5">
        <f t="shared" ref="M5:M14" si="2">K5*L5</f>
        <v>2</v>
      </c>
      <c r="N5">
        <f>L5*(K5-M15)^2</f>
        <v>50625</v>
      </c>
      <c r="R5" s="12" t="s">
        <v>0</v>
      </c>
      <c r="S5" s="14">
        <v>2450</v>
      </c>
    </row>
    <row r="6" spans="1:19" ht="15.75" x14ac:dyDescent="0.25">
      <c r="A6" s="7">
        <v>1000</v>
      </c>
      <c r="B6" s="6">
        <v>0.01</v>
      </c>
      <c r="C6">
        <f t="shared" si="0"/>
        <v>10</v>
      </c>
      <c r="D6" s="1">
        <f t="shared" si="1"/>
        <v>21025</v>
      </c>
      <c r="E6" s="2"/>
      <c r="F6" s="57"/>
      <c r="G6" s="56"/>
      <c r="H6" s="56"/>
      <c r="I6" s="56"/>
      <c r="K6" s="8">
        <v>700</v>
      </c>
      <c r="L6" s="9">
        <v>0.02</v>
      </c>
      <c r="M6">
        <f t="shared" si="2"/>
        <v>14</v>
      </c>
      <c r="N6">
        <f>L6*(K6-M15)^2</f>
        <v>61250</v>
      </c>
      <c r="R6" s="12" t="s">
        <v>1</v>
      </c>
      <c r="S6" s="14">
        <v>2450</v>
      </c>
    </row>
    <row r="7" spans="1:19" ht="18.75" x14ac:dyDescent="0.3">
      <c r="A7" s="7">
        <v>1500</v>
      </c>
      <c r="B7" s="6">
        <v>0.02</v>
      </c>
      <c r="C7">
        <f t="shared" si="0"/>
        <v>30</v>
      </c>
      <c r="D7" s="1">
        <f t="shared" si="1"/>
        <v>18050</v>
      </c>
      <c r="E7" s="2"/>
      <c r="F7" s="57"/>
      <c r="G7" s="56"/>
      <c r="H7" s="56"/>
      <c r="I7" s="56"/>
      <c r="K7" s="10">
        <v>1200</v>
      </c>
      <c r="L7" s="9">
        <v>0.02</v>
      </c>
      <c r="M7">
        <f t="shared" si="2"/>
        <v>24</v>
      </c>
      <c r="N7">
        <f>L7*(K7-M15)^2</f>
        <v>31250</v>
      </c>
      <c r="R7" s="11" t="s">
        <v>3</v>
      </c>
    </row>
    <row r="8" spans="1:19" ht="15.75" x14ac:dyDescent="0.25">
      <c r="A8" s="7">
        <v>2000</v>
      </c>
      <c r="B8" s="6">
        <v>0.35</v>
      </c>
      <c r="C8">
        <f t="shared" si="0"/>
        <v>700</v>
      </c>
      <c r="D8" s="1">
        <f t="shared" si="1"/>
        <v>70875</v>
      </c>
      <c r="E8" s="2"/>
      <c r="F8" s="57"/>
      <c r="G8" s="56"/>
      <c r="H8" s="56"/>
      <c r="I8" s="56"/>
      <c r="K8" s="10">
        <v>1700</v>
      </c>
      <c r="L8" s="9">
        <v>0.15</v>
      </c>
      <c r="M8">
        <f t="shared" si="2"/>
        <v>255</v>
      </c>
      <c r="N8">
        <f>L8*(K8-M15)^2</f>
        <v>84375</v>
      </c>
      <c r="R8" s="12" t="s">
        <v>0</v>
      </c>
      <c r="S8" s="14">
        <f>SQRT(D15)</f>
        <v>661.43782776614762</v>
      </c>
    </row>
    <row r="9" spans="1:19" ht="15.75" x14ac:dyDescent="0.25">
      <c r="A9" s="7">
        <v>2500</v>
      </c>
      <c r="B9" s="6">
        <v>0.3</v>
      </c>
      <c r="C9">
        <f t="shared" si="0"/>
        <v>750</v>
      </c>
      <c r="D9" s="1">
        <f t="shared" si="1"/>
        <v>750</v>
      </c>
      <c r="E9" s="2"/>
      <c r="F9" s="57"/>
      <c r="G9" s="56"/>
      <c r="H9" s="56"/>
      <c r="I9" s="56"/>
      <c r="K9" s="10">
        <v>2200</v>
      </c>
      <c r="L9" s="9">
        <v>0.3</v>
      </c>
      <c r="M9">
        <f t="shared" si="2"/>
        <v>660</v>
      </c>
      <c r="N9">
        <f>L9*(K9-M15)^2</f>
        <v>18750</v>
      </c>
      <c r="R9" s="12" t="s">
        <v>1</v>
      </c>
      <c r="S9" s="14">
        <f>SQRT(N15)</f>
        <v>701.78344238090995</v>
      </c>
    </row>
    <row r="10" spans="1:19" x14ac:dyDescent="0.25">
      <c r="A10" s="7">
        <v>3000</v>
      </c>
      <c r="B10" s="6">
        <v>0.25</v>
      </c>
      <c r="C10">
        <f t="shared" si="0"/>
        <v>750</v>
      </c>
      <c r="D10" s="1">
        <f t="shared" si="1"/>
        <v>75625</v>
      </c>
      <c r="E10" s="2"/>
      <c r="F10" s="57"/>
      <c r="G10" s="56"/>
      <c r="H10" s="56"/>
      <c r="I10" s="56"/>
      <c r="K10" s="10">
        <v>2700</v>
      </c>
      <c r="L10" s="9">
        <v>0.3</v>
      </c>
      <c r="M10">
        <f t="shared" si="2"/>
        <v>810</v>
      </c>
      <c r="N10">
        <f>L10*(K10-M15)^2</f>
        <v>18750</v>
      </c>
    </row>
    <row r="11" spans="1:19" x14ac:dyDescent="0.25">
      <c r="A11" s="7">
        <v>3500</v>
      </c>
      <c r="B11" s="6">
        <v>0.02</v>
      </c>
      <c r="C11">
        <f t="shared" si="0"/>
        <v>70</v>
      </c>
      <c r="D11" s="1">
        <f t="shared" si="1"/>
        <v>22050</v>
      </c>
      <c r="E11" s="2"/>
      <c r="F11" s="57"/>
      <c r="G11" s="56"/>
      <c r="H11" s="56"/>
      <c r="I11" s="56"/>
      <c r="K11" s="10">
        <v>3200</v>
      </c>
      <c r="L11" s="9">
        <v>0.15</v>
      </c>
      <c r="M11">
        <f t="shared" si="2"/>
        <v>480</v>
      </c>
      <c r="N11">
        <f>L11*(K11-M15)^2</f>
        <v>84375</v>
      </c>
    </row>
    <row r="12" spans="1:19" x14ac:dyDescent="0.25">
      <c r="A12" s="7">
        <v>4000</v>
      </c>
      <c r="B12" s="6">
        <v>0.01</v>
      </c>
      <c r="C12">
        <f t="shared" si="0"/>
        <v>40</v>
      </c>
      <c r="D12" s="1">
        <f t="shared" si="1"/>
        <v>24025</v>
      </c>
      <c r="E12" s="2"/>
      <c r="F12" s="57"/>
      <c r="G12" s="56"/>
      <c r="H12" s="56"/>
      <c r="I12" s="56"/>
      <c r="K12" s="10">
        <v>3700</v>
      </c>
      <c r="L12" s="9">
        <v>0.02</v>
      </c>
      <c r="M12">
        <f t="shared" si="2"/>
        <v>74</v>
      </c>
      <c r="N12">
        <f>L12*(K12-M15)^2</f>
        <v>31250</v>
      </c>
    </row>
    <row r="13" spans="1:19" x14ac:dyDescent="0.25">
      <c r="A13" s="7">
        <v>4500</v>
      </c>
      <c r="B13" s="6">
        <v>0.01</v>
      </c>
      <c r="C13">
        <f t="shared" si="0"/>
        <v>45</v>
      </c>
      <c r="D13" s="1">
        <f t="shared" si="1"/>
        <v>42025</v>
      </c>
      <c r="E13" s="2"/>
      <c r="F13" s="57"/>
      <c r="G13" s="56"/>
      <c r="H13" s="56"/>
      <c r="I13" s="56"/>
      <c r="K13" s="10">
        <v>4200</v>
      </c>
      <c r="L13" s="9">
        <v>0.02</v>
      </c>
      <c r="M13">
        <f t="shared" si="2"/>
        <v>84</v>
      </c>
      <c r="N13">
        <f>L13*(K13-M15)^2</f>
        <v>61250</v>
      </c>
    </row>
    <row r="14" spans="1:19" ht="15.75" thickBot="1" x14ac:dyDescent="0.3">
      <c r="A14" s="7">
        <v>5000</v>
      </c>
      <c r="B14" s="6">
        <v>0.01</v>
      </c>
      <c r="C14">
        <f t="shared" si="0"/>
        <v>50</v>
      </c>
      <c r="D14" s="1">
        <f t="shared" si="1"/>
        <v>65025</v>
      </c>
      <c r="E14" s="2"/>
      <c r="F14" s="57"/>
      <c r="G14" s="56"/>
      <c r="H14" s="56"/>
      <c r="I14" s="56"/>
      <c r="K14" s="10">
        <v>4700</v>
      </c>
      <c r="L14" s="9">
        <v>0.01</v>
      </c>
      <c r="M14">
        <f t="shared" si="2"/>
        <v>47</v>
      </c>
      <c r="N14">
        <f>L14*(K14-M15)^2</f>
        <v>50625</v>
      </c>
    </row>
    <row r="15" spans="1:19" ht="19.5" thickBot="1" x14ac:dyDescent="0.35">
      <c r="B15" s="15" t="s">
        <v>2</v>
      </c>
      <c r="C15" s="45">
        <f>SUM(C4:C14)</f>
        <v>2450</v>
      </c>
      <c r="D15" s="46">
        <f>SUM(D4:D14)</f>
        <v>437500</v>
      </c>
      <c r="E15" s="3"/>
      <c r="F15" s="3"/>
      <c r="L15" s="15" t="s">
        <v>2</v>
      </c>
      <c r="M15" s="45">
        <f>SUM(M4:M14)</f>
        <v>2450</v>
      </c>
      <c r="N15" s="46">
        <f>SUM(N4:N14)</f>
        <v>492500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N5" formula="1"/>
  </ignoredErrors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5</xdr:col>
                <xdr:colOff>142875</xdr:colOff>
                <xdr:row>3</xdr:row>
                <xdr:rowOff>57150</xdr:rowOff>
              </from>
              <to>
                <xdr:col>8</xdr:col>
                <xdr:colOff>809625</xdr:colOff>
                <xdr:row>6</xdr:row>
                <xdr:rowOff>161925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5" r:id="rId6">
          <objectPr defaultSize="0" autoPict="0" r:id="rId7">
            <anchor moveWithCells="1" sizeWithCells="1">
              <from>
                <xdr:col>6</xdr:col>
                <xdr:colOff>504825</xdr:colOff>
                <xdr:row>12</xdr:row>
                <xdr:rowOff>66675</xdr:rowOff>
              </from>
              <to>
                <xdr:col>7</xdr:col>
                <xdr:colOff>561975</xdr:colOff>
                <xdr:row>13</xdr:row>
                <xdr:rowOff>152400</xdr:rowOff>
              </to>
            </anchor>
          </objectPr>
        </oleObject>
      </mc:Choice>
      <mc:Fallback>
        <oleObject progId="Equation.DSMT4" shapeId="1026" r:id="rId6"/>
      </mc:Fallback>
    </mc:AlternateContent>
    <mc:AlternateContent xmlns:mc="http://schemas.openxmlformats.org/markup-compatibility/2006">
      <mc:Choice Requires="x14">
        <oleObject progId="Equation.DSMT4" shapeId="1027" r:id="rId8">
          <objectPr defaultSize="0" autoPict="0" r:id="rId9">
            <anchor moveWithCells="1" sizeWithCells="1">
              <from>
                <xdr:col>5</xdr:col>
                <xdr:colOff>123825</xdr:colOff>
                <xdr:row>6</xdr:row>
                <xdr:rowOff>200025</xdr:rowOff>
              </from>
              <to>
                <xdr:col>8</xdr:col>
                <xdr:colOff>847725</xdr:colOff>
                <xdr:row>10</xdr:row>
                <xdr:rowOff>171450</xdr:rowOff>
              </to>
            </anchor>
          </objectPr>
        </oleObject>
      </mc:Choice>
      <mc:Fallback>
        <oleObject progId="Equation.DSMT4" shapeId="1027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selection activeCell="B12" sqref="B12"/>
    </sheetView>
  </sheetViews>
  <sheetFormatPr defaultRowHeight="15" x14ac:dyDescent="0.25"/>
  <cols>
    <col min="1" max="1" width="38.7109375" customWidth="1"/>
  </cols>
  <sheetData>
    <row r="1" spans="1:1" ht="18.75" x14ac:dyDescent="0.3">
      <c r="A1" s="15" t="s">
        <v>9</v>
      </c>
    </row>
    <row r="2" spans="1:1" ht="18.75" x14ac:dyDescent="0.3">
      <c r="A2" s="17">
        <f>STANDARDIZE(45,50,10)</f>
        <v>-0.5</v>
      </c>
    </row>
    <row r="15" spans="1:1" ht="18.75" x14ac:dyDescent="0.3">
      <c r="A15" s="17">
        <f>NORMDIST(1.9, 2, 0.05,TRUE)</f>
        <v>2.2750131948179098E-2</v>
      </c>
    </row>
    <row r="30" spans="1:1" ht="18.75" x14ac:dyDescent="0.3">
      <c r="A30" s="17">
        <f>NORMSDIST(1.68)</f>
        <v>0.95352134213627993</v>
      </c>
    </row>
    <row r="42" spans="1:1" ht="18.75" x14ac:dyDescent="0.3">
      <c r="A42" s="17">
        <f>NORMINV(0.1,57,9)</f>
        <v>45.466035910098597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1"/>
  <sheetViews>
    <sheetView zoomScale="140" zoomScaleNormal="140" workbookViewId="0">
      <selection activeCell="L18" sqref="L18"/>
    </sheetView>
  </sheetViews>
  <sheetFormatPr defaultRowHeight="15" x14ac:dyDescent="0.25"/>
  <cols>
    <col min="12" max="12" width="14.42578125" customWidth="1"/>
    <col min="13" max="13" width="16.5703125" customWidth="1"/>
  </cols>
  <sheetData>
    <row r="2" spans="1:13" ht="15.75" x14ac:dyDescent="0.25">
      <c r="L2" s="32">
        <f>B7/COUNTA(B3:B6)</f>
        <v>5.75</v>
      </c>
    </row>
    <row r="3" spans="1:13" x14ac:dyDescent="0.25">
      <c r="B3" s="19">
        <v>3</v>
      </c>
      <c r="D3" s="19">
        <f>(B3-$L$2)^2</f>
        <v>7.5625</v>
      </c>
    </row>
    <row r="4" spans="1:13" ht="15.75" x14ac:dyDescent="0.25">
      <c r="B4" s="19">
        <v>5</v>
      </c>
      <c r="D4" s="19">
        <f t="shared" ref="D4:D6" si="0">(B4-$L$2)^2</f>
        <v>0.5625</v>
      </c>
      <c r="L4" s="33">
        <f>D7/COUNT(D3:D6)</f>
        <v>3.6875</v>
      </c>
    </row>
    <row r="5" spans="1:13" x14ac:dyDescent="0.25">
      <c r="B5" s="19">
        <v>7</v>
      </c>
      <c r="D5" s="19">
        <f t="shared" si="0"/>
        <v>1.5625</v>
      </c>
    </row>
    <row r="6" spans="1:13" ht="15.75" x14ac:dyDescent="0.25">
      <c r="B6" s="19">
        <v>8</v>
      </c>
      <c r="D6" s="19">
        <f t="shared" si="0"/>
        <v>5.0625</v>
      </c>
      <c r="L6" s="34">
        <f>SQRT(L4)</f>
        <v>1.920286436967152</v>
      </c>
    </row>
    <row r="7" spans="1:13" x14ac:dyDescent="0.25">
      <c r="A7" s="36" t="s">
        <v>2</v>
      </c>
      <c r="B7" s="39">
        <f>SUM(B3:B6)</f>
        <v>23</v>
      </c>
      <c r="C7" s="39"/>
      <c r="D7" s="39">
        <f t="shared" ref="D7" si="1">SUM(D3:D6)</f>
        <v>14.75</v>
      </c>
    </row>
    <row r="8" spans="1:13" x14ac:dyDescent="0.25">
      <c r="B8" s="38"/>
      <c r="C8" s="3"/>
      <c r="D8" s="3"/>
    </row>
    <row r="9" spans="1:13" ht="15.75" x14ac:dyDescent="0.25">
      <c r="L9" s="32">
        <f>E21/COUNT(E15:E20)</f>
        <v>5.75</v>
      </c>
    </row>
    <row r="12" spans="1:13" ht="15.75" x14ac:dyDescent="0.25">
      <c r="L12" s="35">
        <f>G21/COUNT(G15:G20)</f>
        <v>1.2291666666666667</v>
      </c>
    </row>
    <row r="13" spans="1:13" x14ac:dyDescent="0.25">
      <c r="E13" s="13" t="s">
        <v>10</v>
      </c>
      <c r="G13" s="42" t="s">
        <v>11</v>
      </c>
      <c r="M13" s="18"/>
    </row>
    <row r="15" spans="1:13" x14ac:dyDescent="0.25">
      <c r="B15" s="20" t="s">
        <v>12</v>
      </c>
      <c r="C15" s="40">
        <v>3</v>
      </c>
      <c r="D15" s="40">
        <v>5</v>
      </c>
      <c r="E15" s="41">
        <f>AVERAGE(C15:D15)</f>
        <v>4</v>
      </c>
      <c r="G15" s="43">
        <f>(E15-$L$9)^2</f>
        <v>3.0625</v>
      </c>
    </row>
    <row r="16" spans="1:13" ht="15.75" thickBot="1" x14ac:dyDescent="0.3">
      <c r="B16" s="20" t="s">
        <v>13</v>
      </c>
      <c r="C16" s="40">
        <v>3</v>
      </c>
      <c r="D16" s="40">
        <v>7</v>
      </c>
      <c r="E16" s="41">
        <f t="shared" ref="E16:E20" si="2">AVERAGE(C16:D16)</f>
        <v>5</v>
      </c>
      <c r="G16" s="43">
        <f t="shared" ref="G16:G20" si="3">(E16-$L$9)^2</f>
        <v>0.5625</v>
      </c>
    </row>
    <row r="17" spans="2:12" ht="17.25" thickTop="1" thickBot="1" x14ac:dyDescent="0.3">
      <c r="B17" s="20" t="s">
        <v>14</v>
      </c>
      <c r="C17" s="40">
        <v>3</v>
      </c>
      <c r="D17" s="40">
        <v>8</v>
      </c>
      <c r="E17" s="41">
        <f t="shared" si="2"/>
        <v>5.5</v>
      </c>
      <c r="G17" s="43">
        <f t="shared" si="3"/>
        <v>6.25E-2</v>
      </c>
      <c r="L17" s="21">
        <f>SQRT(L12)</f>
        <v>1.1086778913041726</v>
      </c>
    </row>
    <row r="18" spans="2:12" ht="15.75" thickTop="1" x14ac:dyDescent="0.25">
      <c r="B18" s="20" t="s">
        <v>15</v>
      </c>
      <c r="C18" s="40">
        <v>5</v>
      </c>
      <c r="D18" s="40">
        <v>7</v>
      </c>
      <c r="E18" s="41">
        <f t="shared" si="2"/>
        <v>6</v>
      </c>
      <c r="G18" s="43">
        <f t="shared" si="3"/>
        <v>6.25E-2</v>
      </c>
    </row>
    <row r="19" spans="2:12" x14ac:dyDescent="0.25">
      <c r="B19" s="20" t="s">
        <v>16</v>
      </c>
      <c r="C19" s="40">
        <v>5</v>
      </c>
      <c r="D19" s="40">
        <v>8</v>
      </c>
      <c r="E19" s="41">
        <f t="shared" si="2"/>
        <v>6.5</v>
      </c>
      <c r="G19" s="43">
        <f t="shared" si="3"/>
        <v>0.5625</v>
      </c>
    </row>
    <row r="20" spans="2:12" x14ac:dyDescent="0.25">
      <c r="B20" s="20" t="s">
        <v>17</v>
      </c>
      <c r="C20" s="40">
        <v>7</v>
      </c>
      <c r="D20" s="40">
        <v>8</v>
      </c>
      <c r="E20" s="41">
        <f t="shared" si="2"/>
        <v>7.5</v>
      </c>
      <c r="G20" s="43">
        <f t="shared" si="3"/>
        <v>3.0625</v>
      </c>
    </row>
    <row r="21" spans="2:12" x14ac:dyDescent="0.25">
      <c r="D21" s="37" t="s">
        <v>2</v>
      </c>
      <c r="E21" s="41">
        <f>SUM(E15:E20)</f>
        <v>34.5</v>
      </c>
      <c r="F21" s="44"/>
      <c r="G21" s="41">
        <f>SUM(G15:G20)</f>
        <v>7.375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topLeftCell="A3" zoomScale="120" zoomScaleNormal="120" workbookViewId="0">
      <selection activeCell="C30" sqref="C30"/>
    </sheetView>
  </sheetViews>
  <sheetFormatPr defaultRowHeight="15" x14ac:dyDescent="0.25"/>
  <cols>
    <col min="1" max="1" width="29" customWidth="1"/>
    <col min="2" max="2" width="12.7109375" customWidth="1"/>
    <col min="3" max="3" width="14.85546875" customWidth="1"/>
    <col min="4" max="4" width="11.85546875" customWidth="1"/>
    <col min="5" max="5" width="12.28515625" customWidth="1"/>
    <col min="6" max="6" width="11.42578125" customWidth="1"/>
  </cols>
  <sheetData>
    <row r="1" spans="1:10" x14ac:dyDescent="0.25">
      <c r="A1" s="48" t="s">
        <v>50</v>
      </c>
      <c r="B1" s="31" t="s">
        <v>43</v>
      </c>
      <c r="C1" s="31" t="s">
        <v>44</v>
      </c>
      <c r="D1" s="31" t="s">
        <v>45</v>
      </c>
      <c r="E1" s="31" t="s">
        <v>46</v>
      </c>
      <c r="F1" s="31" t="s">
        <v>47</v>
      </c>
    </row>
    <row r="2" spans="1:10" x14ac:dyDescent="0.25">
      <c r="A2" s="48">
        <v>1</v>
      </c>
      <c r="B2" s="47">
        <v>3</v>
      </c>
      <c r="C2" s="47">
        <v>3</v>
      </c>
      <c r="D2" s="47">
        <v>1</v>
      </c>
      <c r="E2" s="47">
        <v>3</v>
      </c>
      <c r="F2" s="47">
        <v>3</v>
      </c>
    </row>
    <row r="3" spans="1:10" x14ac:dyDescent="0.25">
      <c r="A3" s="48">
        <f>A2+1</f>
        <v>2</v>
      </c>
      <c r="B3" s="47">
        <v>5</v>
      </c>
      <c r="C3" s="47">
        <v>4</v>
      </c>
      <c r="D3" s="47">
        <v>2</v>
      </c>
      <c r="E3" s="47">
        <v>4</v>
      </c>
      <c r="F3" s="47">
        <v>5</v>
      </c>
    </row>
    <row r="4" spans="1:10" x14ac:dyDescent="0.25">
      <c r="A4" s="48">
        <f t="shared" ref="A4:A11" si="0">A3+1</f>
        <v>3</v>
      </c>
      <c r="B4" s="47">
        <v>4</v>
      </c>
      <c r="C4" s="47">
        <v>3</v>
      </c>
      <c r="D4" s="47">
        <v>1</v>
      </c>
      <c r="E4" s="47">
        <v>3</v>
      </c>
      <c r="F4" s="47">
        <v>5</v>
      </c>
    </row>
    <row r="5" spans="1:10" x14ac:dyDescent="0.25">
      <c r="A5" s="48">
        <f t="shared" si="0"/>
        <v>4</v>
      </c>
      <c r="B5" s="47">
        <v>4</v>
      </c>
      <c r="C5" s="47">
        <v>3</v>
      </c>
      <c r="D5" s="47">
        <v>2</v>
      </c>
      <c r="E5" s="47">
        <v>3</v>
      </c>
      <c r="F5" s="47">
        <v>5</v>
      </c>
    </row>
    <row r="6" spans="1:10" x14ac:dyDescent="0.25">
      <c r="A6" s="48">
        <f t="shared" si="0"/>
        <v>5</v>
      </c>
      <c r="B6" s="47">
        <v>5</v>
      </c>
      <c r="C6" s="47">
        <v>3</v>
      </c>
      <c r="D6" s="47">
        <v>2</v>
      </c>
      <c r="E6" s="47">
        <v>3</v>
      </c>
      <c r="F6" s="47">
        <v>4</v>
      </c>
    </row>
    <row r="7" spans="1:10" x14ac:dyDescent="0.25">
      <c r="A7" s="48">
        <f t="shared" si="0"/>
        <v>6</v>
      </c>
      <c r="B7" s="47">
        <v>4</v>
      </c>
      <c r="C7" s="47">
        <v>2</v>
      </c>
      <c r="D7" s="47">
        <v>2</v>
      </c>
      <c r="E7" s="47">
        <v>4</v>
      </c>
      <c r="F7" s="47">
        <v>5</v>
      </c>
    </row>
    <row r="8" spans="1:10" x14ac:dyDescent="0.25">
      <c r="A8" s="48">
        <f t="shared" si="0"/>
        <v>7</v>
      </c>
      <c r="B8" s="47">
        <v>3</v>
      </c>
      <c r="C8" s="47">
        <v>3</v>
      </c>
      <c r="D8" s="47">
        <v>1</v>
      </c>
      <c r="E8" s="47">
        <v>3</v>
      </c>
      <c r="F8" s="47">
        <v>4</v>
      </c>
    </row>
    <row r="9" spans="1:10" x14ac:dyDescent="0.25">
      <c r="A9" s="48">
        <f t="shared" si="0"/>
        <v>8</v>
      </c>
      <c r="B9" s="47">
        <v>3</v>
      </c>
      <c r="C9" s="47">
        <v>4</v>
      </c>
      <c r="D9" s="47">
        <v>2</v>
      </c>
      <c r="E9" s="47">
        <v>3</v>
      </c>
      <c r="F9" s="47">
        <v>5</v>
      </c>
    </row>
    <row r="10" spans="1:10" x14ac:dyDescent="0.25">
      <c r="A10" s="48">
        <f t="shared" si="0"/>
        <v>9</v>
      </c>
      <c r="B10" s="47">
        <v>5</v>
      </c>
      <c r="C10" s="47">
        <v>4</v>
      </c>
      <c r="D10" s="47">
        <v>3</v>
      </c>
      <c r="E10" s="47">
        <v>3</v>
      </c>
      <c r="F10" s="47">
        <v>5</v>
      </c>
    </row>
    <row r="11" spans="1:10" x14ac:dyDescent="0.25">
      <c r="A11" s="48">
        <f t="shared" si="0"/>
        <v>10</v>
      </c>
      <c r="B11" s="47">
        <v>5</v>
      </c>
      <c r="C11" s="47">
        <v>4</v>
      </c>
      <c r="D11" s="47">
        <v>2</v>
      </c>
      <c r="E11" s="47">
        <v>2</v>
      </c>
      <c r="F11" s="47">
        <v>4</v>
      </c>
    </row>
    <row r="12" spans="1:10" x14ac:dyDescent="0.25">
      <c r="A12" s="50" t="s">
        <v>52</v>
      </c>
      <c r="B12" s="59">
        <f>AVERAGE(B2:B11)</f>
        <v>4.0999999999999996</v>
      </c>
      <c r="C12" s="59">
        <f t="shared" ref="C12:F12" si="1">AVERAGE(C2:C11)</f>
        <v>3.3</v>
      </c>
      <c r="D12" s="59">
        <f t="shared" si="1"/>
        <v>1.8</v>
      </c>
      <c r="E12" s="59">
        <f t="shared" si="1"/>
        <v>3.1</v>
      </c>
      <c r="F12" s="59">
        <f t="shared" si="1"/>
        <v>4.5</v>
      </c>
    </row>
    <row r="13" spans="1:10" x14ac:dyDescent="0.25">
      <c r="A13" s="49" t="s">
        <v>53</v>
      </c>
      <c r="B13" s="60">
        <f>_xlfn.VAR.P(B2:B11)</f>
        <v>0.69</v>
      </c>
      <c r="C13" s="60">
        <f t="shared" ref="C13:F13" si="2">_xlfn.VAR.P(C2:C11)</f>
        <v>0.41</v>
      </c>
      <c r="D13" s="60">
        <f t="shared" si="2"/>
        <v>0.36</v>
      </c>
      <c r="E13" s="60">
        <f t="shared" si="2"/>
        <v>0.28999999999999998</v>
      </c>
      <c r="F13" s="60">
        <f t="shared" si="2"/>
        <v>0.45</v>
      </c>
    </row>
    <row r="14" spans="1:10" x14ac:dyDescent="0.25">
      <c r="A14" s="51" t="s">
        <v>54</v>
      </c>
      <c r="B14" s="61">
        <f>SQRT(B13)</f>
        <v>0.83066238629180744</v>
      </c>
      <c r="C14" s="61">
        <f t="shared" ref="C14:F14" si="3">SQRT(C13)</f>
        <v>0.6403124237432849</v>
      </c>
      <c r="D14" s="61">
        <f t="shared" si="3"/>
        <v>0.6</v>
      </c>
      <c r="E14" s="61">
        <f t="shared" si="3"/>
        <v>0.53851648071345037</v>
      </c>
      <c r="F14" s="61">
        <f t="shared" si="3"/>
        <v>0.67082039324993692</v>
      </c>
    </row>
    <row r="15" spans="1:10" x14ac:dyDescent="0.25">
      <c r="A15" t="s">
        <v>51</v>
      </c>
      <c r="B15" s="47">
        <v>0.2</v>
      </c>
      <c r="C15" s="47">
        <v>0.3</v>
      </c>
      <c r="D15" s="47">
        <v>0.15</v>
      </c>
      <c r="E15" s="47">
        <v>0.15</v>
      </c>
      <c r="F15" s="58">
        <v>0.2</v>
      </c>
      <c r="G15" s="52"/>
      <c r="H15" s="52"/>
      <c r="I15" s="52"/>
      <c r="J15" s="52"/>
    </row>
    <row r="16" spans="1:10" x14ac:dyDescent="0.25">
      <c r="C16" t="s">
        <v>48</v>
      </c>
      <c r="F16" s="52"/>
      <c r="G16" s="52"/>
      <c r="H16" s="52"/>
      <c r="I16" s="52"/>
      <c r="J16" s="52"/>
    </row>
    <row r="17" spans="1:10" x14ac:dyDescent="0.25">
      <c r="A17" s="52"/>
      <c r="B17" s="52"/>
      <c r="C17" s="54"/>
      <c r="D17" s="54"/>
      <c r="E17" s="54"/>
      <c r="F17" s="54"/>
      <c r="G17" s="52"/>
      <c r="H17" s="52"/>
      <c r="I17" s="52"/>
      <c r="J17" s="52"/>
    </row>
    <row r="18" spans="1:10" x14ac:dyDescent="0.25">
      <c r="A18" s="52"/>
      <c r="B18" s="52"/>
      <c r="C18" s="54"/>
      <c r="D18" s="54"/>
      <c r="E18" s="54"/>
      <c r="F18" s="54"/>
      <c r="G18" s="52"/>
      <c r="H18" s="52"/>
      <c r="I18" s="52"/>
      <c r="J18" s="52"/>
    </row>
    <row r="19" spans="1:10" x14ac:dyDescent="0.25">
      <c r="A19" s="52"/>
      <c r="B19" s="52"/>
      <c r="C19" s="54"/>
      <c r="D19" s="54"/>
      <c r="E19" s="54"/>
      <c r="F19" s="54"/>
      <c r="G19" s="52"/>
      <c r="H19" s="52"/>
      <c r="I19" s="52"/>
      <c r="J19" s="52"/>
    </row>
    <row r="20" spans="1:10" ht="15.75" thickBot="1" x14ac:dyDescent="0.3">
      <c r="A20" s="52"/>
      <c r="B20" s="52"/>
      <c r="C20" s="54"/>
      <c r="D20" s="54"/>
      <c r="E20" s="54"/>
      <c r="F20" s="54"/>
      <c r="G20" s="52"/>
      <c r="H20" s="52"/>
      <c r="I20" s="52"/>
      <c r="J20" s="52"/>
    </row>
    <row r="21" spans="1:10" ht="15.75" thickBot="1" x14ac:dyDescent="0.3">
      <c r="A21" s="52"/>
      <c r="B21" s="52"/>
      <c r="C21" s="62">
        <f>(B14*B15+C14*C15+D14*D15+E14*E15+F14*F15)/SUM(B15:F15)</f>
        <v>0.66316775513835191</v>
      </c>
      <c r="F21" s="52"/>
      <c r="G21" s="52"/>
      <c r="H21" s="52"/>
      <c r="I21" s="52"/>
      <c r="J21" s="52"/>
    </row>
    <row r="22" spans="1:10" x14ac:dyDescent="0.25">
      <c r="A22" s="52"/>
      <c r="B22" s="52"/>
      <c r="F22" s="52"/>
      <c r="G22" s="52"/>
      <c r="H22" s="52"/>
      <c r="I22" s="52"/>
      <c r="J22" s="52"/>
    </row>
    <row r="23" spans="1:10" x14ac:dyDescent="0.25">
      <c r="A23" s="52"/>
      <c r="B23" s="52"/>
      <c r="F23" s="52"/>
      <c r="G23" s="52"/>
      <c r="H23" s="52"/>
      <c r="I23" s="52"/>
      <c r="J23" s="52"/>
    </row>
    <row r="24" spans="1:10" x14ac:dyDescent="0.25">
      <c r="A24" s="52"/>
      <c r="B24" s="52"/>
      <c r="C24" t="s">
        <v>49</v>
      </c>
      <c r="F24" s="52"/>
      <c r="G24" s="52"/>
      <c r="H24" s="52"/>
      <c r="I24" s="52"/>
      <c r="J24" s="52"/>
    </row>
    <row r="25" spans="1:10" x14ac:dyDescent="0.25">
      <c r="A25" s="52"/>
      <c r="B25" s="52"/>
      <c r="C25" s="55"/>
      <c r="D25" s="53"/>
      <c r="E25" s="53"/>
      <c r="F25" s="53"/>
      <c r="G25" s="52"/>
      <c r="H25" s="52"/>
      <c r="I25" s="52"/>
      <c r="J25" s="52"/>
    </row>
    <row r="26" spans="1:10" x14ac:dyDescent="0.25">
      <c r="A26" s="52"/>
      <c r="B26" s="52"/>
      <c r="C26" s="53"/>
      <c r="D26" s="53"/>
      <c r="E26" s="53"/>
      <c r="F26" s="53"/>
      <c r="G26" s="52"/>
      <c r="H26" s="52"/>
      <c r="I26" s="52"/>
      <c r="J26" s="52"/>
    </row>
    <row r="27" spans="1:10" x14ac:dyDescent="0.25">
      <c r="C27" s="53"/>
      <c r="D27" s="53"/>
      <c r="E27" s="53"/>
      <c r="F27" s="53"/>
      <c r="G27" s="52"/>
      <c r="H27" s="52"/>
      <c r="I27" s="52"/>
      <c r="J27" s="52"/>
    </row>
    <row r="28" spans="1:10" x14ac:dyDescent="0.25">
      <c r="C28" s="53"/>
      <c r="D28" s="53"/>
      <c r="E28" s="53"/>
      <c r="F28" s="53"/>
    </row>
    <row r="29" spans="1:10" ht="18.75" x14ac:dyDescent="0.3">
      <c r="B29" s="63" t="s">
        <v>55</v>
      </c>
      <c r="C29" s="64">
        <f>ROUNDUP((1.96*C21/0.2)^2,0)</f>
        <v>43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Equation.DSMT4" shapeId="7169" r:id="rId4">
          <objectPr defaultSize="0" autoPict="0" r:id="rId5">
            <anchor moveWithCells="1" sizeWithCells="1">
              <from>
                <xdr:col>2</xdr:col>
                <xdr:colOff>171450</xdr:colOff>
                <xdr:row>15</xdr:row>
                <xdr:rowOff>152400</xdr:rowOff>
              </from>
              <to>
                <xdr:col>5</xdr:col>
                <xdr:colOff>438150</xdr:colOff>
                <xdr:row>20</xdr:row>
                <xdr:rowOff>47625</xdr:rowOff>
              </to>
            </anchor>
          </objectPr>
        </oleObject>
      </mc:Choice>
      <mc:Fallback>
        <oleObject progId="Equation.DSMT4" shapeId="7169" r:id="rId4"/>
      </mc:Fallback>
    </mc:AlternateContent>
    <mc:AlternateContent xmlns:mc="http://schemas.openxmlformats.org/markup-compatibility/2006">
      <mc:Choice Requires="x14">
        <oleObject progId="Equation.DSMT4" shapeId="7170" r:id="rId6">
          <objectPr defaultSize="0" autoPict="0" r:id="rId7">
            <anchor moveWithCells="1" sizeWithCells="1">
              <from>
                <xdr:col>2</xdr:col>
                <xdr:colOff>962025</xdr:colOff>
                <xdr:row>23</xdr:row>
                <xdr:rowOff>152400</xdr:rowOff>
              </from>
              <to>
                <xdr:col>4</xdr:col>
                <xdr:colOff>419100</xdr:colOff>
                <xdr:row>27</xdr:row>
                <xdr:rowOff>133350</xdr:rowOff>
              </to>
            </anchor>
          </objectPr>
        </oleObject>
      </mc:Choice>
      <mc:Fallback>
        <oleObject progId="Equation.DSMT4" shapeId="7170" r:id="rId6"/>
      </mc:Fallback>
    </mc:AlternateContent>
    <mc:AlternateContent xmlns:mc="http://schemas.openxmlformats.org/markup-compatibility/2006">
      <mc:Choice Requires="x14">
        <oleObject progId="Equation.DSMT4" shapeId="7171" r:id="rId8">
          <objectPr defaultSize="0" r:id="rId9">
            <anchor moveWithCells="1">
              <from>
                <xdr:col>1</xdr:col>
                <xdr:colOff>628650</xdr:colOff>
                <xdr:row>19</xdr:row>
                <xdr:rowOff>200025</xdr:rowOff>
              </from>
              <to>
                <xdr:col>1</xdr:col>
                <xdr:colOff>800100</xdr:colOff>
                <xdr:row>21</xdr:row>
                <xdr:rowOff>19050</xdr:rowOff>
              </to>
            </anchor>
          </objectPr>
        </oleObject>
      </mc:Choice>
      <mc:Fallback>
        <oleObject progId="Equation.DSMT4" shapeId="7171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B3"/>
  <sheetViews>
    <sheetView zoomScale="170" zoomScaleNormal="170" workbookViewId="0">
      <selection activeCell="B4" sqref="B4"/>
    </sheetView>
  </sheetViews>
  <sheetFormatPr defaultRowHeight="15" x14ac:dyDescent="0.25"/>
  <cols>
    <col min="1" max="1" width="15.5703125" customWidth="1"/>
    <col min="2" max="2" width="16.85546875" customWidth="1"/>
  </cols>
  <sheetData>
    <row r="3" spans="1:2" x14ac:dyDescent="0.25">
      <c r="A3">
        <f>390-_xlfn.CONFIDENCE.NORM(0.05,96,64)</f>
        <v>366.48043218551936</v>
      </c>
      <c r="B3">
        <f>390+_xlfn.CONFIDENCE.NORM(0.05,96,64)</f>
        <v>413.51956781448064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4097" r:id="rId4">
          <objectPr defaultSize="0" autoPict="0" r:id="rId5">
            <anchor moveWithCells="1" sizeWithCells="1">
              <from>
                <xdr:col>0</xdr:col>
                <xdr:colOff>352425</xdr:colOff>
                <xdr:row>4</xdr:row>
                <xdr:rowOff>123825</xdr:rowOff>
              </from>
              <to>
                <xdr:col>1</xdr:col>
                <xdr:colOff>666750</xdr:colOff>
                <xdr:row>6</xdr:row>
                <xdr:rowOff>152400</xdr:rowOff>
              </to>
            </anchor>
          </objectPr>
        </oleObject>
      </mc:Choice>
      <mc:Fallback>
        <oleObject progId="Equation.DSMT4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5"/>
  <sheetViews>
    <sheetView zoomScale="150" zoomScaleNormal="150" workbookViewId="0">
      <selection activeCell="E1" sqref="E1:G14"/>
    </sheetView>
  </sheetViews>
  <sheetFormatPr defaultRowHeight="15" x14ac:dyDescent="0.25"/>
  <cols>
    <col min="1" max="1" width="15.42578125" customWidth="1"/>
    <col min="2" max="2" width="24.85546875" bestFit="1" customWidth="1"/>
    <col min="3" max="3" width="13.140625" bestFit="1" customWidth="1"/>
    <col min="5" max="5" width="15.42578125" customWidth="1"/>
    <col min="6" max="6" width="31.85546875" bestFit="1" customWidth="1"/>
    <col min="7" max="7" width="14.85546875" bestFit="1" customWidth="1"/>
    <col min="8" max="8" width="27.28515625" customWidth="1"/>
  </cols>
  <sheetData>
    <row r="1" spans="1:7" ht="24.75" customHeight="1" thickBot="1" x14ac:dyDescent="0.3">
      <c r="A1" s="22" t="s">
        <v>19</v>
      </c>
      <c r="B1" s="23" t="s">
        <v>20</v>
      </c>
      <c r="C1" s="71"/>
      <c r="E1" s="22" t="s">
        <v>19</v>
      </c>
      <c r="F1" s="26" t="s">
        <v>33</v>
      </c>
      <c r="G1" s="70"/>
    </row>
    <row r="2" spans="1:7" ht="15.75" thickBot="1" x14ac:dyDescent="0.3">
      <c r="A2" s="24" t="s">
        <v>21</v>
      </c>
      <c r="B2" s="66">
        <v>5000</v>
      </c>
      <c r="C2" s="67">
        <f>(B2-$B$18)^2</f>
        <v>620.84027777779283</v>
      </c>
      <c r="E2" s="24" t="s">
        <v>21</v>
      </c>
      <c r="F2" s="67">
        <v>60</v>
      </c>
      <c r="G2" s="69">
        <f>(F2-$F$18)^2</f>
        <v>0.34027777777778057</v>
      </c>
    </row>
    <row r="3" spans="1:7" ht="15.75" thickBot="1" x14ac:dyDescent="0.3">
      <c r="A3" s="24" t="s">
        <v>22</v>
      </c>
      <c r="B3" s="66">
        <v>5200</v>
      </c>
      <c r="C3" s="67">
        <f t="shared" ref="C3:C13" si="0">(B3-$B$18)^2</f>
        <v>30654.173611111004</v>
      </c>
      <c r="E3" s="24" t="s">
        <v>22</v>
      </c>
      <c r="F3" s="67">
        <v>61</v>
      </c>
      <c r="G3" s="69">
        <f t="shared" ref="G3:G13" si="1">(F3-$F$18)^2</f>
        <v>0.17361111111110913</v>
      </c>
    </row>
    <row r="4" spans="1:7" ht="15.75" thickBot="1" x14ac:dyDescent="0.3">
      <c r="A4" s="24" t="s">
        <v>23</v>
      </c>
      <c r="B4" s="66">
        <v>4980</v>
      </c>
      <c r="C4" s="67">
        <f t="shared" si="0"/>
        <v>2017.5069444444716</v>
      </c>
      <c r="E4" s="24" t="s">
        <v>23</v>
      </c>
      <c r="F4" s="67">
        <v>62</v>
      </c>
      <c r="G4" s="69">
        <f t="shared" si="1"/>
        <v>2.0069444444444375</v>
      </c>
    </row>
    <row r="5" spans="1:7" ht="15.75" thickBot="1" x14ac:dyDescent="0.3">
      <c r="A5" s="24" t="s">
        <v>24</v>
      </c>
      <c r="B5" s="66">
        <v>5230</v>
      </c>
      <c r="C5" s="67">
        <f t="shared" si="0"/>
        <v>42059.173611110986</v>
      </c>
      <c r="E5" s="24" t="s">
        <v>24</v>
      </c>
      <c r="F5" s="67">
        <v>60</v>
      </c>
      <c r="G5" s="69">
        <f t="shared" si="1"/>
        <v>0.34027777777778057</v>
      </c>
    </row>
    <row r="6" spans="1:7" ht="15.75" thickBot="1" x14ac:dyDescent="0.3">
      <c r="A6" s="24" t="s">
        <v>25</v>
      </c>
      <c r="B6" s="66">
        <v>4950</v>
      </c>
      <c r="C6" s="67">
        <f t="shared" si="0"/>
        <v>5612.5069444444898</v>
      </c>
      <c r="E6" s="24" t="s">
        <v>25</v>
      </c>
      <c r="F6" s="67">
        <v>59</v>
      </c>
      <c r="G6" s="69">
        <f t="shared" si="1"/>
        <v>2.5069444444444517</v>
      </c>
    </row>
    <row r="7" spans="1:7" ht="15.75" thickBot="1" x14ac:dyDescent="0.3">
      <c r="A7" s="24" t="s">
        <v>26</v>
      </c>
      <c r="B7" s="66">
        <v>5030</v>
      </c>
      <c r="C7" s="67">
        <f t="shared" si="0"/>
        <v>25.840277777774695</v>
      </c>
      <c r="E7" s="24" t="s">
        <v>26</v>
      </c>
      <c r="F7" s="67">
        <v>60</v>
      </c>
      <c r="G7" s="69">
        <f t="shared" si="1"/>
        <v>0.34027777777778057</v>
      </c>
    </row>
    <row r="8" spans="1:7" ht="15.75" thickBot="1" x14ac:dyDescent="0.3">
      <c r="A8" s="24" t="s">
        <v>27</v>
      </c>
      <c r="B8" s="66">
        <v>4970</v>
      </c>
      <c r="C8" s="67">
        <f t="shared" si="0"/>
        <v>3015.840277777811</v>
      </c>
      <c r="E8" s="24" t="s">
        <v>27</v>
      </c>
      <c r="F8" s="67">
        <v>60</v>
      </c>
      <c r="G8" s="69">
        <f t="shared" si="1"/>
        <v>0.34027777777778057</v>
      </c>
    </row>
    <row r="9" spans="1:7" ht="15.75" thickBot="1" x14ac:dyDescent="0.3">
      <c r="A9" s="24" t="s">
        <v>28</v>
      </c>
      <c r="B9" s="66">
        <v>5010</v>
      </c>
      <c r="C9" s="67">
        <f t="shared" si="0"/>
        <v>222.5069444444535</v>
      </c>
      <c r="E9" s="24" t="s">
        <v>28</v>
      </c>
      <c r="F9" s="67">
        <v>61</v>
      </c>
      <c r="G9" s="69">
        <f t="shared" si="1"/>
        <v>0.17361111111110913</v>
      </c>
    </row>
    <row r="10" spans="1:7" ht="15.75" thickBot="1" x14ac:dyDescent="0.3">
      <c r="A10" s="24" t="s">
        <v>29</v>
      </c>
      <c r="B10" s="66">
        <v>5020</v>
      </c>
      <c r="C10" s="67">
        <f t="shared" si="0"/>
        <v>24.173611111114091</v>
      </c>
      <c r="E10" s="24" t="s">
        <v>29</v>
      </c>
      <c r="F10" s="67">
        <v>61</v>
      </c>
      <c r="G10" s="69">
        <f t="shared" si="1"/>
        <v>0.17361111111110913</v>
      </c>
    </row>
    <row r="11" spans="1:7" ht="15.75" thickBot="1" x14ac:dyDescent="0.3">
      <c r="A11" s="24" t="s">
        <v>30</v>
      </c>
      <c r="B11" s="66">
        <v>5005</v>
      </c>
      <c r="C11" s="67">
        <f t="shared" si="0"/>
        <v>396.67361111112319</v>
      </c>
      <c r="E11" s="24" t="s">
        <v>30</v>
      </c>
      <c r="F11" s="67">
        <v>61</v>
      </c>
      <c r="G11" s="69">
        <f t="shared" si="1"/>
        <v>0.17361111111110913</v>
      </c>
    </row>
    <row r="12" spans="1:7" ht="15.75" thickBot="1" x14ac:dyDescent="0.3">
      <c r="A12" s="24" t="s">
        <v>31</v>
      </c>
      <c r="B12" s="66">
        <v>4880</v>
      </c>
      <c r="C12" s="67">
        <f t="shared" si="0"/>
        <v>21000.840277777865</v>
      </c>
      <c r="E12" s="24" t="s">
        <v>31</v>
      </c>
      <c r="F12" s="67">
        <v>62</v>
      </c>
      <c r="G12" s="69">
        <f t="shared" si="1"/>
        <v>2.0069444444444375</v>
      </c>
    </row>
    <row r="13" spans="1:7" ht="15.75" thickBot="1" x14ac:dyDescent="0.3">
      <c r="A13" s="30" t="s">
        <v>32</v>
      </c>
      <c r="B13" s="66">
        <v>5024</v>
      </c>
      <c r="C13" s="67">
        <f t="shared" si="0"/>
        <v>0.84027777777833357</v>
      </c>
      <c r="E13" s="24" t="s">
        <v>32</v>
      </c>
      <c r="F13" s="67">
        <v>60</v>
      </c>
      <c r="G13" s="69">
        <f t="shared" si="1"/>
        <v>0.34027777777778057</v>
      </c>
    </row>
    <row r="14" spans="1:7" x14ac:dyDescent="0.25">
      <c r="A14" s="29" t="s">
        <v>18</v>
      </c>
      <c r="B14" s="68">
        <f>SUM(B2:B13)</f>
        <v>60299</v>
      </c>
      <c r="C14" s="68">
        <f>SUM(C2:C13)</f>
        <v>105650.91666666669</v>
      </c>
      <c r="D14" s="28"/>
      <c r="E14" s="72" t="s">
        <v>18</v>
      </c>
      <c r="F14" s="68">
        <f t="shared" ref="F14:G14" si="2">SUM(F2:F13)</f>
        <v>727</v>
      </c>
      <c r="G14" s="68">
        <f t="shared" si="2"/>
        <v>8.9166666666666661</v>
      </c>
    </row>
    <row r="15" spans="1:7" x14ac:dyDescent="0.25">
      <c r="A15" s="27"/>
    </row>
    <row r="17" spans="1:9" x14ac:dyDescent="0.25">
      <c r="H17" s="65"/>
    </row>
    <row r="18" spans="1:9" x14ac:dyDescent="0.25">
      <c r="A18" t="s">
        <v>34</v>
      </c>
      <c r="B18" s="25">
        <f>B14/12</f>
        <v>5024.916666666667</v>
      </c>
      <c r="E18" t="s">
        <v>34</v>
      </c>
      <c r="F18">
        <f>F14/12</f>
        <v>60.583333333333336</v>
      </c>
      <c r="H18" s="65"/>
    </row>
    <row r="19" spans="1:9" x14ac:dyDescent="0.25">
      <c r="A19" t="s">
        <v>35</v>
      </c>
      <c r="B19">
        <f>C14/12</f>
        <v>8804.2430555555566</v>
      </c>
      <c r="E19" t="s">
        <v>35</v>
      </c>
      <c r="F19">
        <f>G14/12</f>
        <v>0.74305555555555547</v>
      </c>
      <c r="H19" s="65"/>
    </row>
    <row r="20" spans="1:9" x14ac:dyDescent="0.25">
      <c r="A20" t="s">
        <v>36</v>
      </c>
      <c r="B20">
        <f>SQRT(B19)</f>
        <v>93.830928033114731</v>
      </c>
      <c r="E20" t="s">
        <v>36</v>
      </c>
      <c r="F20">
        <f>SQRT(F19)</f>
        <v>0.86200670273238333</v>
      </c>
    </row>
    <row r="25" spans="1:9" ht="15.75" x14ac:dyDescent="0.25">
      <c r="H25" s="16" t="s">
        <v>37</v>
      </c>
      <c r="I25" s="16">
        <f>ROUNDUP(1.96*SQRT(B19*F18+F19*B18^2),0)</f>
        <v>8610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Equation.DSMT4" shapeId="5124" r:id="rId4">
          <objectPr defaultSize="0" autoPict="0" r:id="rId5">
            <anchor moveWithCells="1" sizeWithCells="1">
              <from>
                <xdr:col>15</xdr:col>
                <xdr:colOff>428625</xdr:colOff>
                <xdr:row>9</xdr:row>
                <xdr:rowOff>142875</xdr:rowOff>
              </from>
              <to>
                <xdr:col>17</xdr:col>
                <xdr:colOff>457200</xdr:colOff>
                <xdr:row>11</xdr:row>
                <xdr:rowOff>19050</xdr:rowOff>
              </to>
            </anchor>
          </objectPr>
        </oleObject>
      </mc:Choice>
      <mc:Fallback>
        <oleObject progId="Equation.DSMT4" shapeId="5124" r:id="rId4"/>
      </mc:Fallback>
    </mc:AlternateContent>
    <mc:AlternateContent xmlns:mc="http://schemas.openxmlformats.org/markup-compatibility/2006">
      <mc:Choice Requires="x14">
        <oleObject progId="Equation.DSMT4" shapeId="5125" r:id="rId6">
          <objectPr defaultSize="0" autoPict="0" r:id="rId5">
            <anchor moveWithCells="1" sizeWithCells="1">
              <from>
                <xdr:col>6</xdr:col>
                <xdr:colOff>866775</xdr:colOff>
                <xdr:row>16</xdr:row>
                <xdr:rowOff>66675</xdr:rowOff>
              </from>
              <to>
                <xdr:col>8</xdr:col>
                <xdr:colOff>9525</xdr:colOff>
                <xdr:row>18</xdr:row>
                <xdr:rowOff>123825</xdr:rowOff>
              </to>
            </anchor>
          </objectPr>
        </oleObject>
      </mc:Choice>
      <mc:Fallback>
        <oleObject progId="Equation.DSMT4" shapeId="5125" r:id="rId6"/>
      </mc:Fallback>
    </mc:AlternateContent>
    <mc:AlternateContent xmlns:mc="http://schemas.openxmlformats.org/markup-compatibility/2006">
      <mc:Choice Requires="x14">
        <oleObject progId="Equation.DSMT4" shapeId="5121" r:id="rId7">
          <objectPr defaultSize="0" autoPict="0" r:id="rId8">
            <anchor moveWithCells="1" sizeWithCells="1">
              <from>
                <xdr:col>2</xdr:col>
                <xdr:colOff>142875</xdr:colOff>
                <xdr:row>0</xdr:row>
                <xdr:rowOff>28575</xdr:rowOff>
              </from>
              <to>
                <xdr:col>2</xdr:col>
                <xdr:colOff>704850</xdr:colOff>
                <xdr:row>0</xdr:row>
                <xdr:rowOff>266700</xdr:rowOff>
              </to>
            </anchor>
          </objectPr>
        </oleObject>
      </mc:Choice>
      <mc:Fallback>
        <oleObject progId="Equation.DSMT4" shapeId="5121" r:id="rId7"/>
      </mc:Fallback>
    </mc:AlternateContent>
    <mc:AlternateContent xmlns:mc="http://schemas.openxmlformats.org/markup-compatibility/2006">
      <mc:Choice Requires="x14">
        <oleObject progId="Equation.DSMT4" shapeId="5122" r:id="rId9">
          <objectPr defaultSize="0" autoPict="0" r:id="rId10">
            <anchor moveWithCells="1" sizeWithCells="1">
              <from>
                <xdr:col>6</xdr:col>
                <xdr:colOff>276225</xdr:colOff>
                <xdr:row>0</xdr:row>
                <xdr:rowOff>28575</xdr:rowOff>
              </from>
              <to>
                <xdr:col>6</xdr:col>
                <xdr:colOff>781050</xdr:colOff>
                <xdr:row>0</xdr:row>
                <xdr:rowOff>266700</xdr:rowOff>
              </to>
            </anchor>
          </objectPr>
        </oleObject>
      </mc:Choice>
      <mc:Fallback>
        <oleObject progId="Equation.DSMT4" shapeId="5122" r:id="rId9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="140" zoomScaleNormal="140" workbookViewId="0">
      <selection activeCell="E12" sqref="E12"/>
    </sheetView>
  </sheetViews>
  <sheetFormatPr defaultRowHeight="15" x14ac:dyDescent="0.25"/>
  <cols>
    <col min="2" max="3" width="25.28515625" customWidth="1"/>
    <col min="4" max="4" width="25.5703125" customWidth="1"/>
    <col min="5" max="5" width="27" customWidth="1"/>
    <col min="6" max="6" width="20.7109375" customWidth="1"/>
  </cols>
  <sheetData>
    <row r="1" spans="1:6" x14ac:dyDescent="0.25">
      <c r="A1" s="31" t="s">
        <v>38</v>
      </c>
      <c r="B1" s="31" t="s">
        <v>39</v>
      </c>
      <c r="C1" s="31" t="s">
        <v>56</v>
      </c>
      <c r="D1" s="31" t="s">
        <v>40</v>
      </c>
      <c r="E1" s="31" t="s">
        <v>41</v>
      </c>
      <c r="F1" s="31" t="s">
        <v>42</v>
      </c>
    </row>
    <row r="2" spans="1:6" x14ac:dyDescent="0.25">
      <c r="A2" s="47">
        <v>1</v>
      </c>
      <c r="B2" s="47">
        <f>LOG10(1+1/A2)</f>
        <v>0.3010299956639812</v>
      </c>
      <c r="C2" s="47">
        <f>B2*500</f>
        <v>150.5149978319906</v>
      </c>
      <c r="D2" s="47">
        <v>148</v>
      </c>
      <c r="E2" s="47">
        <f>D2/500</f>
        <v>0.29599999999999999</v>
      </c>
      <c r="F2" s="47">
        <f>ABS(E2-B2)/SQRT(B2*(1-B2)/500)</f>
        <v>0.24519886597811835</v>
      </c>
    </row>
    <row r="3" spans="1:6" x14ac:dyDescent="0.25">
      <c r="A3" s="47">
        <f>A2+1</f>
        <v>2</v>
      </c>
      <c r="B3" s="47">
        <f t="shared" ref="B3:B10" si="0">LOG10(1+1/A3)</f>
        <v>0.17609125905568124</v>
      </c>
      <c r="C3" s="47">
        <f t="shared" ref="C3:C10" si="1">B3*500</f>
        <v>88.045629527840617</v>
      </c>
      <c r="D3" s="47">
        <v>75</v>
      </c>
      <c r="E3" s="47">
        <f t="shared" ref="E3:E10" si="2">D3/500</f>
        <v>0.15</v>
      </c>
      <c r="F3" s="47">
        <f t="shared" ref="F3:F10" si="3">ABS(E3-B3)/SQRT(B3*(1-B3)/500)</f>
        <v>1.5316924953353026</v>
      </c>
    </row>
    <row r="4" spans="1:6" x14ac:dyDescent="0.25">
      <c r="A4" s="47">
        <f t="shared" ref="A4:A10" si="4">A3+1</f>
        <v>3</v>
      </c>
      <c r="B4" s="47">
        <f t="shared" si="0"/>
        <v>0.12493873660829993</v>
      </c>
      <c r="C4" s="47">
        <f t="shared" si="1"/>
        <v>62.469368304149967</v>
      </c>
      <c r="D4" s="47">
        <v>55</v>
      </c>
      <c r="E4" s="47">
        <f t="shared" si="2"/>
        <v>0.11</v>
      </c>
      <c r="F4" s="47">
        <f t="shared" si="3"/>
        <v>1.0102551839834109</v>
      </c>
    </row>
    <row r="5" spans="1:6" x14ac:dyDescent="0.25">
      <c r="A5" s="47">
        <f t="shared" si="4"/>
        <v>4</v>
      </c>
      <c r="B5" s="47">
        <f t="shared" si="0"/>
        <v>9.691001300805642E-2</v>
      </c>
      <c r="C5" s="47">
        <f t="shared" si="1"/>
        <v>48.455006504028212</v>
      </c>
      <c r="D5" s="47">
        <v>50</v>
      </c>
      <c r="E5" s="47">
        <f t="shared" si="2"/>
        <v>0.1</v>
      </c>
      <c r="F5" s="47">
        <f t="shared" si="3"/>
        <v>0.23355642225116632</v>
      </c>
    </row>
    <row r="6" spans="1:6" x14ac:dyDescent="0.25">
      <c r="A6" s="47">
        <f t="shared" si="4"/>
        <v>5</v>
      </c>
      <c r="B6" s="47">
        <f t="shared" si="0"/>
        <v>7.9181246047624818E-2</v>
      </c>
      <c r="C6" s="47">
        <f t="shared" si="1"/>
        <v>39.590623023812405</v>
      </c>
      <c r="D6" s="47">
        <v>45</v>
      </c>
      <c r="E6" s="47">
        <f t="shared" si="2"/>
        <v>0.09</v>
      </c>
      <c r="F6" s="47">
        <f t="shared" si="3"/>
        <v>0.8959092121586103</v>
      </c>
    </row>
    <row r="7" spans="1:6" x14ac:dyDescent="0.25">
      <c r="A7" s="47">
        <f t="shared" si="4"/>
        <v>6</v>
      </c>
      <c r="B7" s="47">
        <f t="shared" si="0"/>
        <v>6.6946789630613221E-2</v>
      </c>
      <c r="C7" s="47">
        <f t="shared" si="1"/>
        <v>33.473394815306612</v>
      </c>
      <c r="D7" s="47">
        <v>40</v>
      </c>
      <c r="E7" s="47">
        <f t="shared" si="2"/>
        <v>0.08</v>
      </c>
      <c r="F7" s="47">
        <f t="shared" si="3"/>
        <v>1.1678424458690779</v>
      </c>
    </row>
    <row r="8" spans="1:6" x14ac:dyDescent="0.25">
      <c r="A8" s="47">
        <f t="shared" si="4"/>
        <v>7</v>
      </c>
      <c r="B8" s="47">
        <f t="shared" si="0"/>
        <v>5.7991946977686733E-2</v>
      </c>
      <c r="C8" s="47">
        <f t="shared" si="1"/>
        <v>28.995973488843365</v>
      </c>
      <c r="D8" s="47">
        <v>34</v>
      </c>
      <c r="E8" s="47">
        <f t="shared" si="2"/>
        <v>6.8000000000000005E-2</v>
      </c>
      <c r="F8" s="47">
        <f t="shared" si="3"/>
        <v>0.95746619006255329</v>
      </c>
    </row>
    <row r="9" spans="1:6" x14ac:dyDescent="0.25">
      <c r="A9" s="47">
        <f t="shared" si="4"/>
        <v>8</v>
      </c>
      <c r="B9" s="47">
        <f t="shared" si="0"/>
        <v>5.1152522447381291E-2</v>
      </c>
      <c r="C9" s="47">
        <f t="shared" si="1"/>
        <v>25.576261223690647</v>
      </c>
      <c r="D9" s="47">
        <v>28</v>
      </c>
      <c r="E9" s="47">
        <f t="shared" si="2"/>
        <v>5.6000000000000001E-2</v>
      </c>
      <c r="F9" s="47">
        <f t="shared" si="3"/>
        <v>0.49200450323809275</v>
      </c>
    </row>
    <row r="10" spans="1:6" x14ac:dyDescent="0.25">
      <c r="A10" s="47">
        <f t="shared" si="4"/>
        <v>9</v>
      </c>
      <c r="B10" s="47">
        <f t="shared" si="0"/>
        <v>4.5757490560675143E-2</v>
      </c>
      <c r="C10" s="47">
        <f t="shared" si="1"/>
        <v>22.878745280337572</v>
      </c>
      <c r="D10" s="47">
        <v>25</v>
      </c>
      <c r="E10" s="47">
        <f t="shared" si="2"/>
        <v>0.05</v>
      </c>
      <c r="F10" s="47">
        <f t="shared" si="3"/>
        <v>0.45399110125743714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1:G11"/>
  <sheetViews>
    <sheetView tabSelected="1" zoomScale="150" zoomScaleNormal="150" workbookViewId="0">
      <selection activeCell="G10" sqref="G10"/>
    </sheetView>
  </sheetViews>
  <sheetFormatPr defaultRowHeight="15" x14ac:dyDescent="0.25"/>
  <cols>
    <col min="6" max="6" width="27" bestFit="1" customWidth="1"/>
    <col min="7" max="7" width="16" bestFit="1" customWidth="1"/>
  </cols>
  <sheetData>
    <row r="1" spans="4:7" ht="17.25" x14ac:dyDescent="0.3">
      <c r="D1" s="73" t="s">
        <v>57</v>
      </c>
      <c r="E1" s="73" t="s">
        <v>58</v>
      </c>
    </row>
    <row r="2" spans="4:7" ht="17.25" x14ac:dyDescent="0.3">
      <c r="D2" s="74">
        <v>1</v>
      </c>
      <c r="E2" s="74">
        <v>15.01</v>
      </c>
      <c r="F2" s="16" t="s">
        <v>59</v>
      </c>
      <c r="G2" s="16">
        <f>AVERAGE(E2:E11)</f>
        <v>17.624000000000002</v>
      </c>
    </row>
    <row r="3" spans="4:7" ht="17.25" x14ac:dyDescent="0.3">
      <c r="D3" s="74">
        <f>D2+1</f>
        <v>2</v>
      </c>
      <c r="E3" s="74">
        <v>18.920000000000002</v>
      </c>
      <c r="F3" s="14" t="s">
        <v>60</v>
      </c>
      <c r="G3" s="14">
        <f>_xlfn.VAR.S(E2:E11)</f>
        <v>2.4700711111111118</v>
      </c>
    </row>
    <row r="4" spans="4:7" ht="17.25" x14ac:dyDescent="0.3">
      <c r="D4" s="74">
        <f t="shared" ref="D4:D11" si="0">D3+1</f>
        <v>3</v>
      </c>
      <c r="E4" s="74">
        <v>20</v>
      </c>
      <c r="F4" s="75" t="s">
        <v>61</v>
      </c>
      <c r="G4" s="75">
        <f>SQRT(G3)</f>
        <v>1.5716459878455808</v>
      </c>
    </row>
    <row r="5" spans="4:7" ht="17.25" x14ac:dyDescent="0.3">
      <c r="D5" s="74">
        <f t="shared" si="0"/>
        <v>4</v>
      </c>
      <c r="E5" s="74">
        <v>15.78</v>
      </c>
      <c r="F5" s="76" t="s">
        <v>62</v>
      </c>
      <c r="G5" s="76">
        <f>$G$2-1.833*$G$4/SQRT(10)</f>
        <v>16.713002483239393</v>
      </c>
    </row>
    <row r="6" spans="4:7" ht="17.25" x14ac:dyDescent="0.3">
      <c r="D6" s="74">
        <f t="shared" si="0"/>
        <v>5</v>
      </c>
      <c r="E6" s="74">
        <v>17.170000000000002</v>
      </c>
      <c r="F6" s="76" t="s">
        <v>63</v>
      </c>
      <c r="G6" s="76">
        <f>$G$2+1.833*$G$4/SQRT(10)</f>
        <v>18.534997516760612</v>
      </c>
    </row>
    <row r="7" spans="4:7" ht="17.25" x14ac:dyDescent="0.3">
      <c r="D7" s="74">
        <f t="shared" si="0"/>
        <v>6</v>
      </c>
      <c r="E7" s="74">
        <v>16.23</v>
      </c>
      <c r="F7" t="s">
        <v>64</v>
      </c>
      <c r="G7" s="77">
        <v>1000000</v>
      </c>
    </row>
    <row r="8" spans="4:7" ht="17.25" x14ac:dyDescent="0.3">
      <c r="D8" s="74">
        <f t="shared" si="0"/>
        <v>7</v>
      </c>
      <c r="E8" s="74">
        <v>18.23</v>
      </c>
      <c r="F8" t="s">
        <v>65</v>
      </c>
      <c r="G8" s="78">
        <f>G7/G5</f>
        <v>59833.653528314157</v>
      </c>
    </row>
    <row r="9" spans="4:7" ht="17.25" x14ac:dyDescent="0.3">
      <c r="D9" s="74">
        <f t="shared" si="0"/>
        <v>8</v>
      </c>
      <c r="E9" s="74">
        <v>18</v>
      </c>
      <c r="F9" t="s">
        <v>66</v>
      </c>
      <c r="G9" s="77">
        <f>G8*G6</f>
        <v>1109016.6195660178</v>
      </c>
    </row>
    <row r="10" spans="4:7" ht="17.25" x14ac:dyDescent="0.3">
      <c r="D10" s="74">
        <f t="shared" si="0"/>
        <v>9</v>
      </c>
      <c r="E10" s="74">
        <v>17.88</v>
      </c>
      <c r="F10" s="79" t="s">
        <v>67</v>
      </c>
      <c r="G10" s="80">
        <f>G9-G7</f>
        <v>109016.61956601776</v>
      </c>
    </row>
    <row r="11" spans="4:7" ht="17.25" x14ac:dyDescent="0.3">
      <c r="D11" s="74">
        <f t="shared" si="0"/>
        <v>10</v>
      </c>
      <c r="E11" s="74">
        <v>19.02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.1" shapeId="11265" r:id="rId4">
          <objectPr defaultSize="0" autoPict="0" r:id="rId5">
            <anchor moveWithCells="1" sizeWithCells="1">
              <from>
                <xdr:col>0</xdr:col>
                <xdr:colOff>238125</xdr:colOff>
                <xdr:row>0</xdr:row>
                <xdr:rowOff>9525</xdr:rowOff>
              </from>
              <to>
                <xdr:col>2</xdr:col>
                <xdr:colOff>590550</xdr:colOff>
                <xdr:row>10</xdr:row>
                <xdr:rowOff>190500</xdr:rowOff>
              </to>
            </anchor>
          </objectPr>
        </oleObject>
      </mc:Choice>
      <mc:Fallback>
        <oleObject progId="Paint.Picture.1" shapeId="1126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Valor Esperado</vt:lpstr>
      <vt:lpstr>Distribuição Normal</vt:lpstr>
      <vt:lpstr>Amostragem da Média</vt:lpstr>
      <vt:lpstr>TAMANHO - AMOSTRA</vt:lpstr>
      <vt:lpstr>Intervalo de Confiança</vt:lpstr>
      <vt:lpstr>ESTOQUE DE SEGURANÇA</vt:lpstr>
      <vt:lpstr>LEI DE NEWCOMB-BENFORD</vt:lpstr>
      <vt:lpstr>O Aprendiz</vt:lpstr>
    </vt:vector>
  </TitlesOfParts>
  <Company>Particular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Pinheiro</dc:creator>
  <cp:lastModifiedBy>ss</cp:lastModifiedBy>
  <dcterms:created xsi:type="dcterms:W3CDTF">2012-04-16T20:21:15Z</dcterms:created>
  <dcterms:modified xsi:type="dcterms:W3CDTF">2022-06-16T19:40:45Z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e143df27-5d8b-4319-bdf2-688b0a752127</vt:lpwstr>
  </property>
</Properties>
</file>